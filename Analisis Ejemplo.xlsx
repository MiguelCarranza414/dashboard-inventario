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vertivco-my.sharepoint.com/personal/miguel_carranza_vertivco_com/Documents/Desktop/"/>
    </mc:Choice>
  </mc:AlternateContent>
  <xr:revisionPtr revIDLastSave="0" documentId="8_{69D9F0DB-F7E4-4665-A70E-FA0EFDCE8C8E}" xr6:coauthVersionLast="47" xr6:coauthVersionMax="47" xr10:uidLastSave="{00000000-0000-0000-0000-000000000000}"/>
  <bookViews>
    <workbookView xWindow="-120" yWindow="-120" windowWidth="29040" windowHeight="15720" activeTab="3" xr2:uid="{C836A8A2-E18F-431A-9FF7-85E703BA7467}"/>
  </bookViews>
  <sheets>
    <sheet name="Data" sheetId="5" r:id="rId1"/>
    <sheet name="Main" sheetId="10" r:id="rId2"/>
    <sheet name="JSON" sheetId="12" r:id="rId3"/>
    <sheet name="APU1" sheetId="7" r:id="rId4"/>
    <sheet name="APU2" sheetId="8" r:id="rId5"/>
    <sheet name="APU3" sheetId="9" r:id="rId6"/>
    <sheet name="Sheet2" sheetId="11" r:id="rId7"/>
  </sheets>
  <definedNames>
    <definedName name="_xlnm._FilterDatabase" localSheetId="0" hidden="1">Data!$B$1:$AQ$20</definedName>
    <definedName name="pares">Data!$AB$2:$AB$2,Data!$AB$3:$AB$3,Data!$AB$4:$AB$4,Data!$AB$5:$AB$5,Data!$AB$6:$AB$6,Data!$AB$7:$AB$7,Data!$AB$8:$AB$8,Data!$AB$9:$AB$9,Data!$AB$10:$AB$10,Data!$AB$11:$AB$11,Data!$AB$12:$AB$12,Data!$AB$13:$AB$13,Data!$AB$14:$AB$14,Data!$AB$15:$AB$15,Data!$AB$16:$AB$16,Data!$AB$17:$AB$17,Data!$AB$18:$AB$18,Data!$AB$19:$AB$19,Data!$AB$20:$AB$20,Data!$AB$1:$AB$1</definedName>
    <definedName name="_xlnm.Print_Area" localSheetId="1">Main!$A$1:$Q$51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1" l="1"/>
  <c r="H3" i="11"/>
  <c r="E3" i="11" l="1"/>
  <c r="L10" i="10"/>
  <c r="C3" i="11"/>
  <c r="D3" i="11" l="1"/>
  <c r="I10" i="10" s="1"/>
  <c r="B3" i="11"/>
  <c r="D12" i="7" l="1"/>
  <c r="E12" i="7"/>
  <c r="I18" i="9"/>
  <c r="J18" i="9" s="1"/>
  <c r="I14" i="9"/>
  <c r="J14" i="9" s="1"/>
  <c r="I16" i="8"/>
  <c r="I12" i="8"/>
  <c r="I14" i="7"/>
  <c r="H14" i="9"/>
  <c r="H12" i="8"/>
  <c r="E14" i="9"/>
  <c r="E16" i="8"/>
  <c r="D14" i="9"/>
  <c r="D12" i="8"/>
  <c r="D14" i="7"/>
  <c r="H13" i="9"/>
  <c r="H13" i="7"/>
  <c r="J13" i="7" s="1"/>
  <c r="E15" i="8"/>
  <c r="E13" i="7"/>
  <c r="D17" i="9"/>
  <c r="C13" i="7"/>
  <c r="E16" i="9"/>
  <c r="D14" i="8"/>
  <c r="C12" i="9"/>
  <c r="I17" i="8"/>
  <c r="H15" i="9"/>
  <c r="D17" i="8"/>
  <c r="H18" i="9"/>
  <c r="H16" i="8"/>
  <c r="H14" i="7"/>
  <c r="J14" i="7" s="1"/>
  <c r="E12" i="8"/>
  <c r="E14" i="7"/>
  <c r="D16" i="8"/>
  <c r="I15" i="8"/>
  <c r="I13" i="7"/>
  <c r="H15" i="8"/>
  <c r="H17" i="7"/>
  <c r="E13" i="9"/>
  <c r="D13" i="9"/>
  <c r="D15" i="8"/>
  <c r="C17" i="9"/>
  <c r="I16" i="7"/>
  <c r="H12" i="7"/>
  <c r="E14" i="8"/>
  <c r="D12" i="9"/>
  <c r="E18" i="9"/>
  <c r="D18" i="9"/>
  <c r="C17" i="7"/>
  <c r="H16" i="9"/>
  <c r="J16" i="9" s="1"/>
  <c r="C16" i="7"/>
  <c r="I13" i="8"/>
  <c r="E13" i="8"/>
  <c r="C17" i="8"/>
  <c r="C18" i="9"/>
  <c r="C14" i="9"/>
  <c r="C16" i="8"/>
  <c r="C12" i="8"/>
  <c r="C14" i="7"/>
  <c r="I17" i="9"/>
  <c r="I13" i="9"/>
  <c r="I17" i="7"/>
  <c r="H17" i="9"/>
  <c r="E17" i="7"/>
  <c r="D17" i="7"/>
  <c r="D13" i="7"/>
  <c r="C13" i="9"/>
  <c r="I16" i="9"/>
  <c r="I12" i="9"/>
  <c r="I14" i="8"/>
  <c r="I12" i="7"/>
  <c r="H12" i="9"/>
  <c r="E16" i="7"/>
  <c r="D16" i="9"/>
  <c r="I15" i="7"/>
  <c r="E15" i="7"/>
  <c r="C15" i="9"/>
  <c r="H16" i="7"/>
  <c r="C14" i="8"/>
  <c r="I15" i="9"/>
  <c r="E17" i="9"/>
  <c r="C15" i="8"/>
  <c r="E12" i="9"/>
  <c r="C12" i="7"/>
  <c r="C16" i="9"/>
  <c r="H17" i="8"/>
  <c r="E17" i="8"/>
  <c r="D13" i="8"/>
  <c r="C13" i="8"/>
  <c r="H14" i="8"/>
  <c r="H13" i="8"/>
  <c r="H15" i="7"/>
  <c r="D15" i="7"/>
  <c r="C15" i="7"/>
  <c r="D16" i="7"/>
  <c r="D15" i="9"/>
  <c r="E15" i="9"/>
  <c r="AZ11" i="5"/>
  <c r="J15" i="8"/>
  <c r="J14" i="8"/>
  <c r="AY9" i="5"/>
  <c r="AZ9" i="5"/>
  <c r="AX11" i="5"/>
  <c r="AY11" i="5"/>
  <c r="AX19" i="5"/>
  <c r="AX3" i="5"/>
  <c r="AY8" i="5"/>
  <c r="AY14" i="5"/>
  <c r="AX15" i="5"/>
  <c r="AY15" i="5"/>
  <c r="AX13" i="5"/>
  <c r="AZ16" i="5"/>
  <c r="AZ2" i="5"/>
  <c r="AZ19" i="5"/>
  <c r="AY2" i="5"/>
  <c r="AX5" i="5"/>
  <c r="AZ14" i="5"/>
  <c r="AY5" i="5"/>
  <c r="AX18" i="5"/>
  <c r="AY16" i="5"/>
  <c r="AZ5" i="5"/>
  <c r="AY17" i="5"/>
  <c r="AY6" i="5"/>
  <c r="AY19" i="5"/>
  <c r="AZ7" i="5"/>
  <c r="AZ13" i="5"/>
  <c r="AX9" i="5"/>
  <c r="AY12" i="5"/>
  <c r="AX10" i="5"/>
  <c r="AY10" i="5"/>
  <c r="AZ3" i="5"/>
  <c r="AZ12" i="5"/>
  <c r="AY13" i="5"/>
  <c r="AZ15" i="5"/>
  <c r="AX16" i="5"/>
  <c r="AZ17" i="5"/>
  <c r="AX7" i="5"/>
  <c r="AX2" i="5"/>
  <c r="AZ8" i="5"/>
  <c r="AX17" i="5"/>
  <c r="AY18" i="5"/>
  <c r="AZ18" i="5"/>
  <c r="AX4" i="5"/>
  <c r="AZ10" i="5"/>
  <c r="AZ4" i="5"/>
  <c r="AX14" i="5"/>
  <c r="AX6" i="5"/>
  <c r="AX20" i="5"/>
  <c r="AZ6" i="5"/>
  <c r="AY3" i="5"/>
  <c r="AY20" i="5"/>
  <c r="AY7" i="5"/>
  <c r="AY4" i="5"/>
  <c r="AZ20" i="5"/>
  <c r="AX8" i="5"/>
  <c r="AX12" i="5"/>
  <c r="J17" i="8" l="1"/>
  <c r="J13" i="8"/>
  <c r="I19" i="9"/>
  <c r="J15" i="7"/>
  <c r="J12" i="9"/>
  <c r="H18" i="7"/>
  <c r="D35" i="10" s="1"/>
  <c r="I18" i="8"/>
  <c r="I32" i="10" s="1"/>
  <c r="J17" i="7"/>
  <c r="BB2" i="5"/>
  <c r="H18" i="8"/>
  <c r="J13" i="9"/>
  <c r="H19" i="9"/>
  <c r="J19" i="9" s="1"/>
  <c r="J20" i="9" s="1"/>
  <c r="J16" i="8"/>
  <c r="J15" i="9"/>
  <c r="J12" i="7"/>
  <c r="J17" i="9"/>
  <c r="BA2" i="5"/>
  <c r="I18" i="7"/>
  <c r="I19" i="7" s="1"/>
  <c r="O5" i="10"/>
  <c r="C4" i="12" s="1"/>
  <c r="J16" i="7"/>
  <c r="G6" i="10"/>
  <c r="C3" i="12" s="1"/>
  <c r="B6" i="10"/>
  <c r="C2" i="12" s="1"/>
  <c r="J12" i="8"/>
  <c r="O7" i="10"/>
  <c r="C5" i="12" s="1"/>
  <c r="N32" i="10"/>
  <c r="C18" i="8"/>
  <c r="E19" i="9"/>
  <c r="E18" i="8"/>
  <c r="D19" i="9"/>
  <c r="D18" i="8"/>
  <c r="C19" i="9"/>
  <c r="C18" i="7"/>
  <c r="D18" i="7"/>
  <c r="E18" i="7"/>
  <c r="I19" i="8" l="1"/>
  <c r="I35" i="10"/>
  <c r="N35" i="10"/>
  <c r="J18" i="8"/>
  <c r="J19" i="8" s="1"/>
  <c r="I20" i="9"/>
  <c r="D32" i="10"/>
  <c r="J18" i="7"/>
  <c r="J19" i="7" s="1"/>
  <c r="D17" i="10"/>
  <c r="C7" i="12" s="1"/>
  <c r="I15" i="10"/>
  <c r="C9" i="12" s="1"/>
  <c r="D15" i="10"/>
  <c r="C6" i="12" s="1"/>
  <c r="N17" i="10"/>
  <c r="C13" i="12" s="1"/>
  <c r="N15" i="10"/>
  <c r="C12" i="12" s="1"/>
  <c r="I17" i="10"/>
  <c r="C10" i="12" s="1"/>
  <c r="N19" i="10" l="1"/>
  <c r="C14" i="12" s="1"/>
  <c r="I19" i="10"/>
  <c r="C11" i="12" s="1"/>
  <c r="D19" i="10"/>
  <c r="C8" i="12" s="1"/>
  <c r="A16" i="12" a="1"/>
  <c r="B21" i="7" a="1"/>
  <c r="A16" i="12" l="1"/>
  <c r="B21" i="7"/>
  <c r="B21" i="8" a="1"/>
  <c r="B21" i="8" l="1"/>
  <c r="B22" i="9" a="1"/>
  <c r="B22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json
# Leer la tabla de Excel (datos + encabezados)
df = xl(%P2%, headers=True)
# Opcional: si quieres solo algunas columnas:
# df = df[['Columna1', 'Columna2', 'Columna3']]
# Convertir a lista de registros (diccionarios)
records = df.to_dict(orient='records')
# Devolver el JSON como texto bonito
json.dumps(records, ensure_ascii=False, indent=1)</code>
    </pythonScript>
  </pythonScripts>
</python>
</file>

<file path=xl/sharedStrings.xml><?xml version="1.0" encoding="utf-8"?>
<sst xmlns="http://schemas.openxmlformats.org/spreadsheetml/2006/main" count="600" uniqueCount="88">
  <si>
    <t>APU</t>
  </si>
  <si>
    <t>LINEA</t>
  </si>
  <si>
    <t>No</t>
  </si>
  <si>
    <t>Si</t>
  </si>
  <si>
    <t>Sin</t>
  </si>
  <si>
    <t>BLW</t>
  </si>
  <si>
    <t>APU1</t>
  </si>
  <si>
    <t>No cumplio</t>
  </si>
  <si>
    <t>CON</t>
  </si>
  <si>
    <t>CR</t>
  </si>
  <si>
    <t>Sin Conteo</t>
  </si>
  <si>
    <t>DP</t>
  </si>
  <si>
    <t>HRS</t>
  </si>
  <si>
    <t>SKID</t>
  </si>
  <si>
    <t>AFC</t>
  </si>
  <si>
    <t>APU2</t>
  </si>
  <si>
    <t>DA</t>
  </si>
  <si>
    <t>KITS</t>
  </si>
  <si>
    <t>PLENUM</t>
  </si>
  <si>
    <t>PRE</t>
  </si>
  <si>
    <t>XDU100</t>
  </si>
  <si>
    <t>COILS</t>
  </si>
  <si>
    <t>APU3</t>
  </si>
  <si>
    <t>EP</t>
  </si>
  <si>
    <t>PIPING</t>
  </si>
  <si>
    <t>SM</t>
  </si>
  <si>
    <t>XDM</t>
  </si>
  <si>
    <t>XDU</t>
  </si>
  <si>
    <t>MC</t>
  </si>
  <si>
    <t>Modos de falla</t>
  </si>
  <si>
    <t>No hay recurso</t>
  </si>
  <si>
    <t>Consumo de WO</t>
  </si>
  <si>
    <t>Punto de Uso</t>
  </si>
  <si>
    <t>Retardo de Material</t>
  </si>
  <si>
    <t>Corto V.X.</t>
  </si>
  <si>
    <t>Surtimiento</t>
  </si>
  <si>
    <t>Material Perdido</t>
  </si>
  <si>
    <t>Diferencias de inventario</t>
  </si>
  <si>
    <t>inventario total</t>
  </si>
  <si>
    <t>diferencias</t>
  </si>
  <si>
    <t>AUDITORIA PISO PRODUCTIVO</t>
  </si>
  <si>
    <t>Cumplimiento:</t>
  </si>
  <si>
    <t>Incumplimiento:</t>
  </si>
  <si>
    <t>Conteos diarios</t>
  </si>
  <si>
    <t>Mayor</t>
  </si>
  <si>
    <t>Menor</t>
  </si>
  <si>
    <t xml:space="preserve">Semana: </t>
  </si>
  <si>
    <t xml:space="preserve">Fechas: </t>
  </si>
  <si>
    <t>-</t>
  </si>
  <si>
    <t>APU 1</t>
  </si>
  <si>
    <t>APU 2</t>
  </si>
  <si>
    <t>APU 3</t>
  </si>
  <si>
    <t>Si contaron</t>
  </si>
  <si>
    <t>No contaron</t>
  </si>
  <si>
    <t>Total</t>
  </si>
  <si>
    <t xml:space="preserve"> </t>
  </si>
  <si>
    <t>REGRESAR</t>
  </si>
  <si>
    <t>Si Cumplio</t>
  </si>
  <si>
    <t>sin diferencia</t>
  </si>
  <si>
    <t>sin diferencias</t>
  </si>
  <si>
    <t>Semana</t>
  </si>
  <si>
    <t>Inicio</t>
  </si>
  <si>
    <t>Fin</t>
  </si>
  <si>
    <t>Inicio Aug</t>
  </si>
  <si>
    <t>FinAug</t>
  </si>
  <si>
    <t>Todos</t>
  </si>
  <si>
    <t xml:space="preserve">TOTAL ITEMS </t>
  </si>
  <si>
    <t>ITEMS CON DIFERENCIA</t>
  </si>
  <si>
    <t>Sin conteo</t>
  </si>
  <si>
    <t>Si cumplio</t>
  </si>
  <si>
    <t>Cumplimiento</t>
  </si>
  <si>
    <t>Incumplimiento</t>
  </si>
  <si>
    <t>C.Diario mayor</t>
  </si>
  <si>
    <t>C.Diario menor</t>
  </si>
  <si>
    <t>Si Cont. 1</t>
  </si>
  <si>
    <t>No Cont. 2</t>
  </si>
  <si>
    <t>Tot 1</t>
  </si>
  <si>
    <t>No Cont. 1</t>
  </si>
  <si>
    <t>Si Cont. 2</t>
  </si>
  <si>
    <t>Tot 2</t>
  </si>
  <si>
    <t>Si Cont. 3</t>
  </si>
  <si>
    <t>No Cont. 3</t>
  </si>
  <si>
    <t>Tot 3</t>
  </si>
  <si>
    <t>Dato</t>
  </si>
  <si>
    <t>Global</t>
  </si>
  <si>
    <t>Status</t>
  </si>
  <si>
    <t>Descripcion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</si>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</sst>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 tint="0.249977111117893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22"/>
      <color theme="9" tint="-0.249977111117893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32"/>
      <name val="Aptos Narrow"/>
      <family val="2"/>
      <scheme val="minor"/>
    </font>
    <font>
      <b/>
      <sz val="28"/>
      <color theme="9" tint="-0.249977111117893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b/>
      <sz val="28"/>
      <color theme="1" tint="0.24997711111789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name val="Helvetica"/>
      <family val="2"/>
    </font>
    <font>
      <b/>
      <sz val="10"/>
      <color theme="1"/>
      <name val="Aptos Narrow"/>
      <family val="2"/>
      <scheme val="minor"/>
    </font>
    <font>
      <sz val="11"/>
      <color rgb="FF242424"/>
      <name val="Consolas"/>
      <family val="3"/>
    </font>
    <font>
      <sz val="1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theme="2" tint="-9.9978637043366805E-2"/>
      </bottom>
      <diagonal/>
    </border>
    <border>
      <left/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auto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/>
      <top style="thin">
        <color theme="2" tint="-9.9978637043366805E-2"/>
      </top>
      <bottom/>
      <diagonal/>
    </border>
    <border>
      <left/>
      <right style="thin">
        <color auto="1"/>
      </right>
      <top style="thin">
        <color theme="2" tint="-9.9978637043366805E-2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150">
    <xf numFmtId="0" fontId="0" fillId="0" borderId="0" xfId="0"/>
    <xf numFmtId="14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6" fillId="0" borderId="0" xfId="1" applyFont="1"/>
    <xf numFmtId="2" fontId="0" fillId="0" borderId="0" xfId="0" applyNumberForma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/>
    <xf numFmtId="0" fontId="0" fillId="8" borderId="0" xfId="0" applyFill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8" borderId="0" xfId="0" applyFill="1"/>
    <xf numFmtId="0" fontId="0" fillId="0" borderId="20" xfId="0" applyBorder="1"/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0" fillId="9" borderId="4" xfId="0" applyFill="1" applyBorder="1"/>
    <xf numFmtId="9" fontId="0" fillId="9" borderId="4" xfId="2" applyFont="1" applyFill="1" applyBorder="1"/>
    <xf numFmtId="0" fontId="1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/>
    <xf numFmtId="14" fontId="3" fillId="0" borderId="0" xfId="0" applyNumberFormat="1" applyFont="1"/>
    <xf numFmtId="0" fontId="0" fillId="9" borderId="20" xfId="0" applyFill="1" applyBorder="1"/>
    <xf numFmtId="0" fontId="22" fillId="0" borderId="0" xfId="0" applyFont="1"/>
    <xf numFmtId="1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23" fillId="0" borderId="20" xfId="0" applyNumberFormat="1" applyFont="1" applyBorder="1" applyAlignment="1">
      <alignment horizontal="center" vertical="center"/>
    </xf>
    <xf numFmtId="14" fontId="23" fillId="0" borderId="21" xfId="0" applyNumberFormat="1" applyFont="1" applyBorder="1" applyAlignment="1">
      <alignment horizontal="center" vertical="center"/>
    </xf>
    <xf numFmtId="14" fontId="23" fillId="0" borderId="4" xfId="0" applyNumberFormat="1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23" fillId="0" borderId="25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26" xfId="0" applyFill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16" xfId="0" applyBorder="1" applyAlignment="1">
      <alignment horizontal="center"/>
    </xf>
    <xf numFmtId="14" fontId="19" fillId="8" borderId="0" xfId="0" applyNumberFormat="1" applyFont="1" applyFill="1" applyAlignment="1">
      <alignment horizontal="center"/>
    </xf>
    <xf numFmtId="14" fontId="19" fillId="8" borderId="22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5" fillId="8" borderId="39" xfId="1" applyFont="1" applyFill="1" applyBorder="1" applyAlignment="1">
      <alignment horizontal="center" vertical="center"/>
    </xf>
    <xf numFmtId="0" fontId="15" fillId="8" borderId="37" xfId="1" applyFont="1" applyFill="1" applyBorder="1" applyAlignment="1">
      <alignment horizontal="center" vertical="center"/>
    </xf>
    <xf numFmtId="0" fontId="15" fillId="8" borderId="5" xfId="1" applyFont="1" applyFill="1" applyBorder="1" applyAlignment="1">
      <alignment horizontal="center" vertical="center"/>
    </xf>
    <xf numFmtId="0" fontId="15" fillId="8" borderId="0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21" fillId="0" borderId="3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4" xfId="0" applyBorder="1" applyAlignment="1">
      <alignment horizontal="center"/>
    </xf>
    <xf numFmtId="0" fontId="14" fillId="8" borderId="0" xfId="0" applyFont="1" applyFill="1" applyAlignment="1">
      <alignment horizontal="right"/>
    </xf>
    <xf numFmtId="0" fontId="1" fillId="0" borderId="3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5" fillId="8" borderId="38" xfId="1" applyFont="1" applyFill="1" applyBorder="1" applyAlignment="1">
      <alignment horizontal="center" vertical="center"/>
    </xf>
    <xf numFmtId="0" fontId="15" fillId="8" borderId="26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2" fillId="7" borderId="5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9" fontId="11" fillId="6" borderId="0" xfId="2" applyFont="1" applyFill="1" applyAlignment="1">
      <alignment horizontal="left" vertical="top"/>
    </xf>
    <xf numFmtId="9" fontId="11" fillId="2" borderId="0" xfId="2" applyFont="1" applyFill="1" applyAlignment="1">
      <alignment horizontal="left" vertical="top"/>
    </xf>
    <xf numFmtId="0" fontId="19" fillId="8" borderId="0" xfId="0" applyFont="1" applyFill="1" applyAlignment="1">
      <alignment horizontal="right" vertical="center"/>
    </xf>
    <xf numFmtId="0" fontId="19" fillId="8" borderId="18" xfId="0" applyFont="1" applyFill="1" applyBorder="1" applyAlignment="1">
      <alignment horizontal="left" vertical="center"/>
    </xf>
    <xf numFmtId="0" fontId="19" fillId="8" borderId="19" xfId="0" applyFont="1" applyFill="1" applyBorder="1" applyAlignment="1">
      <alignment horizontal="left" vertical="center"/>
    </xf>
    <xf numFmtId="0" fontId="14" fillId="8" borderId="1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9" fillId="8" borderId="0" xfId="0" applyFont="1" applyFill="1" applyAlignment="1">
      <alignment horizontal="center" vertical="center"/>
    </xf>
    <xf numFmtId="0" fontId="19" fillId="8" borderId="2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100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openxmlformats.org/officeDocument/2006/relationships/sharedStrings" Target="sharedStrings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035-4954-AFE5-9D2658C1BC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22-4F4F-8B97-6F25E2CB043E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35-4954-AFE5-9D2658C1BC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22-4F4F-8B97-6F25E2CB043E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35-4954-AFE5-9D2658C1BC06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35-4954-AFE5-9D2658C1BC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Main!$D$15:$D$18</c:f>
              <c:numCache>
                <c:formatCode>General</c:formatCode>
                <c:ptCount val="4"/>
                <c:pt idx="0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5-4954-AFE5-9D2658C1BC0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22-4F4F-8B97-6F25E2CB04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22-4F4F-8B97-6F25E2CB04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C22-4F4F-8B97-6F25E2CB04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C22-4F4F-8B97-6F25E2CB043E}"/>
              </c:ext>
            </c:extLst>
          </c:dPt>
          <c:val>
            <c:numRef>
              <c:f>Main!$E$15:$E$18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E035-4954-AFE5-9D2658C1BC06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C22-4F4F-8B97-6F25E2CB04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22-4F4F-8B97-6F25E2CB04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C22-4F4F-8B97-6F25E2CB04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C22-4F4F-8B97-6F25E2CB043E}"/>
              </c:ext>
            </c:extLst>
          </c:dPt>
          <c:val>
            <c:numRef>
              <c:f>Main!$F$15:$F$18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E035-4954-AFE5-9D2658C1B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EA-4637-83B0-D8A98DDE604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B5-42AB-B295-283E1592F9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1</c:v>
              </c:pt>
              <c:pt idx="1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Main!$I$15:$I$18</c15:sqref>
                  </c15:fullRef>
                </c:ext>
              </c:extLst>
              <c:f>(Main!$I$15,Main!$I$17)</c:f>
              <c:numCache>
                <c:formatCode>General</c:formatCode>
                <c:ptCount val="2"/>
                <c:pt idx="0">
                  <c:v>13</c:v>
                </c:pt>
                <c:pt idx="1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32B5-42AB-B295-283E1592F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BAEA-4637-83B0-D8A98DDE604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BAEA-4637-83B0-D8A98DDE6047}"/>
                    </c:ext>
                  </c:extLst>
                </c:dPt>
                <c:val>
                  <c:numRef>
                    <c:extLst>
                      <c:ext uri="{02D57815-91ED-43cb-92C2-25804820EDAC}">
                        <c15:fullRef>
                          <c15:sqref>Main!$J$15:$J$18</c15:sqref>
                        </c15:fullRef>
                        <c15:formulaRef>
                          <c15:sqref>(Main!$J$15,Main!$J$17)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32B5-42AB-B295-283E1592F94F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BAEA-4637-83B0-D8A98DDE604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BAEA-4637-83B0-D8A98DDE6047}"/>
                    </c:ext>
                  </c:extLst>
                </c:dP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Main!$K$15:$K$18</c15:sqref>
                        </c15:fullRef>
                        <c15:formulaRef>
                          <c15:sqref>(Main!$K$15,Main!$K$17)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32B5-42AB-B295-283E1592F94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BB-4FC6-8DEF-188306597F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09-49D2-86D9-557C9139BAE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5BB-4FC6-8DEF-188306597F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09-49D2-86D9-557C9139BA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Main!$N$15:$N$18</c:f>
              <c:numCache>
                <c:formatCode>General</c:formatCode>
                <c:ptCount val="4"/>
                <c:pt idx="0">
                  <c:v>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B-4FC6-8DEF-188306597F3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09-49D2-86D9-557C9139BA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A09-49D2-86D9-557C9139BA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A09-49D2-86D9-557C9139BA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A09-49D2-86D9-557C9139BAED}"/>
              </c:ext>
            </c:extLst>
          </c:dPt>
          <c:val>
            <c:numRef>
              <c:f>Main!$O$15:$O$18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35BB-4FC6-8DEF-188306597F33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A09-49D2-86D9-557C9139BA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A09-49D2-86D9-557C9139BA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A09-49D2-86D9-557C9139BA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A09-49D2-86D9-557C9139BAED}"/>
              </c:ext>
            </c:extLst>
          </c:dPt>
          <c:val>
            <c:numRef>
              <c:f>Main!$P$15:$P$18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35BB-4FC6-8DEF-188306597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08310847346037"/>
          <c:y val="9.647826410362674E-2"/>
          <c:w val="0.65166671734552095"/>
          <c:h val="0.8380566801619433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93-49BD-AFAE-3C80147A83BC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93-49BD-AFAE-3C80147A8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'APU1'!$I$11:$J$11</c:f>
              <c:strCache>
                <c:ptCount val="2"/>
                <c:pt idx="0">
                  <c:v>diferencias</c:v>
                </c:pt>
                <c:pt idx="1">
                  <c:v>sin diferencia</c:v>
                </c:pt>
              </c:strCache>
            </c:strRef>
          </c:cat>
          <c:val>
            <c:numRef>
              <c:f>'APU1'!$I$19:$J$19</c:f>
              <c:numCache>
                <c:formatCode>0%</c:formatCode>
                <c:ptCount val="2"/>
                <c:pt idx="0">
                  <c:v>0.45833333333333331</c:v>
                </c:pt>
                <c:pt idx="1">
                  <c:v>0.54166666666666663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93-49BD-AFAE-3C80147A8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1-49B9-BE60-EB2760D5E18F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D1-49B9-BE60-EB2760D5E1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'APU2'!$I$11:$J$11</c:f>
              <c:strCache>
                <c:ptCount val="2"/>
                <c:pt idx="0">
                  <c:v>diferencias</c:v>
                </c:pt>
                <c:pt idx="1">
                  <c:v>sin diferencia</c:v>
                </c:pt>
              </c:strCache>
            </c:strRef>
          </c:cat>
          <c:val>
            <c:numRef>
              <c:f>'APU2'!$I$19:$J$19</c:f>
              <c:numCache>
                <c:formatCode>0%</c:formatCode>
                <c:ptCount val="2"/>
                <c:pt idx="0">
                  <c:v>0.47368421052631576</c:v>
                </c:pt>
                <c:pt idx="1">
                  <c:v>0.52631578947368418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1-49B9-BE60-EB2760D5E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DF-4FB8-8AD4-D4307D46FABC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DF-4FB8-8AD4-D4307D46FA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'APU3'!$I$11:$J$11</c:f>
              <c:strCache>
                <c:ptCount val="2"/>
                <c:pt idx="0">
                  <c:v>diferencias</c:v>
                </c:pt>
                <c:pt idx="1">
                  <c:v>sin diferencias</c:v>
                </c:pt>
              </c:strCache>
            </c:strRef>
          </c:cat>
          <c:val>
            <c:numRef>
              <c:f>'APU3'!$I$20:$J$20</c:f>
              <c:numCache>
                <c:formatCode>0%</c:formatCode>
                <c:ptCount val="2"/>
                <c:pt idx="0">
                  <c:v>0.84126984126984128</c:v>
                </c:pt>
                <c:pt idx="1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DF-4FB8-8AD4-D4307D46FA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19</xdr:row>
      <xdr:rowOff>347383</xdr:rowOff>
    </xdr:from>
    <xdr:to>
      <xdr:col>5</xdr:col>
      <xdr:colOff>145675</xdr:colOff>
      <xdr:row>31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F33FC3-648C-4A46-C8BC-4038795FF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8282</xdr:colOff>
      <xdr:row>19</xdr:row>
      <xdr:rowOff>364434</xdr:rowOff>
    </xdr:from>
    <xdr:to>
      <xdr:col>11</xdr:col>
      <xdr:colOff>0</xdr:colOff>
      <xdr:row>30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C5420F-6EF9-6237-8BBC-A10CBD390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6568</xdr:colOff>
      <xdr:row>20</xdr:row>
      <xdr:rowOff>6569</xdr:rowOff>
    </xdr:from>
    <xdr:to>
      <xdr:col>16</xdr:col>
      <xdr:colOff>6569</xdr:colOff>
      <xdr:row>30</xdr:row>
      <xdr:rowOff>177363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A186B9-205F-13A2-415C-5FE39228A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22412</xdr:colOff>
      <xdr:row>36</xdr:row>
      <xdr:rowOff>257735</xdr:rowOff>
    </xdr:from>
    <xdr:to>
      <xdr:col>6</xdr:col>
      <xdr:colOff>1</xdr:colOff>
      <xdr:row>49</xdr:row>
      <xdr:rowOff>168088</xdr:rowOff>
    </xdr:to>
    <xdr:graphicFrame macro="">
      <xdr:nvGraphicFramePr>
        <xdr:cNvPr id="109" name="Chart 5">
          <a:extLst>
            <a:ext uri="{FF2B5EF4-FFF2-40B4-BE49-F238E27FC236}">
              <a16:creationId xmlns:a16="http://schemas.microsoft.com/office/drawing/2014/main" id="{8E5CB24C-E7C5-419E-BDC2-8ACA4884C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11206</xdr:colOff>
      <xdr:row>36</xdr:row>
      <xdr:rowOff>246529</xdr:rowOff>
    </xdr:from>
    <xdr:to>
      <xdr:col>10</xdr:col>
      <xdr:colOff>134471</xdr:colOff>
      <xdr:row>49</xdr:row>
      <xdr:rowOff>179294</xdr:rowOff>
    </xdr:to>
    <xdr:graphicFrame macro="">
      <xdr:nvGraphicFramePr>
        <xdr:cNvPr id="99" name="Chart 68">
          <a:extLst>
            <a:ext uri="{FF2B5EF4-FFF2-40B4-BE49-F238E27FC236}">
              <a16:creationId xmlns:a16="http://schemas.microsoft.com/office/drawing/2014/main" id="{91B6C136-A807-4068-8078-41CF449DD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11206</xdr:colOff>
      <xdr:row>37</xdr:row>
      <xdr:rowOff>22411</xdr:rowOff>
    </xdr:from>
    <xdr:to>
      <xdr:col>15</xdr:col>
      <xdr:colOff>123264</xdr:colOff>
      <xdr:row>49</xdr:row>
      <xdr:rowOff>156884</xdr:rowOff>
    </xdr:to>
    <xdr:graphicFrame macro="">
      <xdr:nvGraphicFramePr>
        <xdr:cNvPr id="101" name="Chart 69">
          <a:extLst>
            <a:ext uri="{FF2B5EF4-FFF2-40B4-BE49-F238E27FC236}">
              <a16:creationId xmlns:a16="http://schemas.microsoft.com/office/drawing/2014/main" id="{9F963EB6-3060-47BE-AFBA-4BA4A5B74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fb t="s">[
 {
  "Status": "Global",
  "Descripcion": "Cumplimiento",
  "Dato": 0.5714285714285714
 },
 {
  "Status": "Global",
  "Descripcion": "Incumplimiento",
  "Dato": 0.42857142857142855
 },
 {
  "Status": "Global",
  "Descripcion": "C.Diario mayor",
  "Dato": "DP"
 },
 {
  "Status": "Global",
  "Descripcion": "C.Diario menor",
  "Dato": "BLW"
 },
 {
  "Status": "APU1",
  "Descripcion": "Si Cont. 1",
  "Dato": 8
 },
 {
  "Status": "APU1",
  "Descripcion": "No Cont. 1",
  "Dato": 8
 },
 {
  "Status": "APU1",
  "Descripcion": "Tot 1",
  "Dato": 16
 },
 {
  "Status": "APU2",
  "Descripcion": "Si Cont. 2",
  "Dato": 13
 },
 {
  "Status": "APU2",
  "Descripcion": "No Cont. 2",
  "Dato": 4
 },
 {
  "Status": "APU2",
  "Descripcion": "Tot 2",
  "Dato": 17
 },
 {
  "Status": "APU3",
  "Descripcion": "Si Cont. 3",
  "Dato": 7
 },
 {
  "Status": "APU3",
  "Descripcion": "No Cont. 3",
  "Dato": 9
 },
 {
  "Status": "APU3",
  "Descripcion": "Tot 3",
  "Dato": 16
 }
]</fb>
    <v>&lt;class 'str'&gt;</v>
    <v>str</v>
    <v>[
 {
  "Status": "Global",
  "Descripcion": "Cumplimiento",
  "Dato": 0.5714285714285714
 },
 {
  "Status": "Global",
  "Descripcion": "Incumplimiento",
  "Dato": 0.42857142857142855
 },
 {
  "Status": "Global",
  "Descripcion": "C.Diario mayor",
  "Da...</v>
    <v>[
 {
  "Status": "Global",
  "Descripcion": "Cumplimiento",
  "Dato": 0.5714285714285714
 },
 {
  "Status": "Global",
  "Descripcion": "Incumplimiento",
  "Dato": 0.42857142857142855
 },
 {
  "Status": "Global",
  "Descripcion": "C.Diario mayor",
  "Dato": "DP"
 },
 {
  "Status": "Global",
  "Descripcion": "C.Diario menor",
  "Dato": "BLW"
 },
 {
  "Status": "APU1",
  "Descripcion": "Si Cont. 1",
  "Dato": 8
 },
 {
  "Status": "APU1",
  "Descripcion": "No Cont. 1",
  "Dato": 8
 },
 {
  "Status": "APU1",
  "Descripcion": "Tot 1",
  "Dato": 16
 },
 {
  "Status": "APU2",
  "Descripcion": "Si Cont. 2",
  "Dato": 13
 },
 {
  "Status": "APU2",
  "Descripcion": "No Cont. 2",
  "Dato": 4
 },
 {
  "Status": "APU2",
  "Descripcion": "Tot 2",
  "Dato": 17
 },
 {
  "Status": "APU3",
  "Descripcion": "Si Cont. 3",
  "Dato": 7
 },
 {
  "Status": "APU3",
  "Descripcion": "No Cont. 3",
  "Dato": 9
 },
 {
  "Status": "APU3",
  "Descripcion": "Tot 3",
  "Dato": 16
 }
]</v>
    <v>0</v>
  </rv>
  <rv s="0">
    <fb t="s">[
 {
  "Linea": "BLW",
  "No cumplio": 3,
  "Si Cumplio": 0,
  "Sin Conteo": 12
 },
 {
  "Linea": "CON",
  "No cumplio": 1,
  "Si Cumplio": 2,
  "Sin Conteo": 12
 },
 {
  "Linea": "CR",
  "No cumplio": 3,
  "Si Cumplio": 0,
  "Sin Conteo": 12
 },
 {
  "Linea": "DP",
  "No cumplio": 0,
  "Si Cumplio": 3,
  "Sin Conteo": 12
 },
 {
  "Linea": "HRS",
  "No cumplio": 0,
  "Si Cumplio": 1,
  "Sin Conteo": 14
 },
 {
  "Linea": "SKID",
  "No cumplio": 1,
  "Si Cumplio": 2,
  "Sin Conteo": 12
 },
 {
  "Linea": "Total",
  "No cumplio": 8,
  "Si Cumplio": 8,
  "Sin Conteo": 74
 }
]</fb>
    <v>&lt;class 'str'&gt;</v>
    <v>str</v>
    <v>[
 {
  "Linea": "BLW",
  "No cumplio": 3,
  "Si Cumplio": 0,
  "Sin Conteo": 12
 },
 {
  "Linea": "CON",
  "No cumplio": 1,
  "Si Cumplio": 2,
  "Sin Conteo": 12
 },
 {
  "Linea": "CR",
  "No cumplio": 3,
  "Si Cumplio": 0,
  "Sin Conteo": 12
 },
 {
  ...</v>
    <v>[
 {
  "Linea": "BLW",
  "No cumplio": 3,
  "Si Cumplio": 0,
  "Sin Conteo": 12
 },
 {
  "Linea": "CON",
  "No cumplio": 1,
  "Si Cumplio": 2,
  "Sin Conteo": 12
 },
 {
  "Linea": "CR",
  "No cumplio": 3,
  "Si Cumplio": 0,
  "Sin Conteo": 12
 },
 {
  "Linea": "DP",
  "No cumplio": 0,
  "Si Cumplio": 3,
  "Sin Conteo": 12
 },
 {
  "Linea": "HRS",
  "No cumplio": 0,
  "Si Cumplio": 1,
  "Sin Conteo": 14
 },
 {
  "Linea": "SKID",
  "No cumplio": 1,
  "Si Cumplio": 2,
  "Sin Conteo": 12
 },
 {
  "Linea": "Total",
  "No cumplio": 8,
  "Si Cumplio": 8,
  "Sin Conteo": 74
 }
]</v>
    <v>0</v>
  </rv>
  <rv s="0">
    <fb t="s">[
 {
  "Linea": "AFC",
  "No cumplio": 0,
  "Si Cumplio": 3,
  "Sin Conteo": 12
 },
 {
  "Linea": "DA",
  "No cumplio": 0,
  "Si Cumplio": 3,
  "Sin Conteo": 12
 },
 {
  "Linea": "KITS",
  "No cumplio": 1,
  "Si Cumplio": 2,
  "Sin Conteo": 12
 },
 {
  "Linea": "PLENUM",
  "No cumplio": 0,
  "Si Cumplio": 3,
  "Sin Conteo": 12
 },
 {
  "Linea": "PRE",
  "No cumplio": 2,
  "Si Cumplio": 1,
  "Sin Conteo": 12
 },
 {
  "Linea": "XDU100",
  "No cumplio": 1,
  "Si Cumplio": 1,
  "Sin Conteo": 13
 },
 {
  "Linea": "Total",
  "No cumplio": 4,
  "Si Cumplio": 13,
  "Sin Conteo": 73
 }
]</fb>
    <v>&lt;class 'str'&gt;</v>
    <v>str</v>
    <v>[
 {
  "Linea": "AFC",
  "No cumplio": 0,
  "Si Cumplio": 3,
  "Sin Conteo": 12
 },
 {
  "Linea": "DA",
  "No cumplio": 0,
  "Si Cumplio": 3,
  "Sin Conteo": 12
 },
 {
  "Linea": "KITS",
  "No cumplio": 1,
  "Si Cumplio": 2,
  "Sin Conteo": 12
 },
 {
 ...</v>
    <v>[
 {
  "Linea": "AFC",
  "No cumplio": 0,
  "Si Cumplio": 3,
  "Sin Conteo": 12
 },
 {
  "Linea": "DA",
  "No cumplio": 0,
  "Si Cumplio": 3,
  "Sin Conteo": 12
 },
 {
  "Linea": "KITS",
  "No cumplio": 1,
  "Si Cumplio": 2,
  "Sin Conteo": 12
 },
 {
  "Linea": "PLENUM",
  "No cumplio": 0,
  "Si Cumplio": 3,
  "Sin Conteo": 12
 },
 {
  "Linea": "PRE",
  "No cumplio": 2,
  "Si Cumplio": 1,
  "Sin Conteo": 12
 },
 {
  "Linea": "XDU100",
  "No cumplio": 1,
  "Si Cumplio": 1,
  "Sin Conteo": 13
 },
 {
  "Linea": "Total",
  "No cumplio": 4,
  "Si Cumplio": 13,
  "Sin Conteo": 73
 }
]</v>
    <v>0</v>
  </rv>
  <rv s="0">
    <fb t="s">[
 {
  "Linea": "COILS",
  "No cumplio": 0,
  "Si Cumplio": 2,
  "Sin Conteo": 13
 },
 {
  "Linea": "EP",
  "No cumplio": 3,
  "Si Cumplio": 0,
  "Sin Conteo": 12
 },
 {
  "Linea": "PIPING",
  "No cumplio": 3,
  "Si Cumplio": 0,
  "Sin Conteo": 12
 },
 {
  "Linea": "SM",
  "No cumplio": 0,
  "Si Cumplio": 0,
  "Sin Conteo": 15
 },
 {
  "Linea": "XDM",
  "No cumplio": 0,
  "Si Cumplio": 3,
  "Sin Conteo": 12
 },
 {
  "Linea": "XDU",
  "No cumplio": 0,
  "Si Cumplio": 2,
  "Sin Conteo": 13
 },
 {
  "Linea": "MC",
  "No cumplio": 3,
  "Si Cumplio": 0,
  "Sin Conteo": 12
 },
 {
  "Linea": "Total",
  "No cumplio": 9,
  "Si Cumplio": 7,
  "Sin Conteo": 89
 }
]</fb>
    <v>&lt;class 'str'&gt;</v>
    <v>str</v>
    <v>[
 {
  "Linea": "COILS",
  "No cumplio": 0,
  "Si Cumplio": 2,
  "Sin Conteo": 13
 },
 {
  "Linea": "EP",
  "No cumplio": 3,
  "Si Cumplio": 0,
  "Sin Conteo": 12
 },
 {
  "Linea": "PIPING",
  "No cumplio": 3,
  "Si Cumplio": 0,
  "Sin Conteo": 12
 },
...</v>
    <v>[
 {
  "Linea": "COILS",
  "No cumplio": 0,
  "Si Cumplio": 2,
  "Sin Conteo": 13
 },
 {
  "Linea": "EP",
  "No cumplio": 3,
  "Si Cumplio": 0,
  "Sin Conteo": 12
 },
 {
  "Linea": "PIPING",
  "No cumplio": 3,
  "Si Cumplio": 0,
  "Sin Conteo": 12
 },
 {
  "Linea": "SM",
  "No cumplio": 0,
  "Si Cumplio": 0,
  "Sin Conteo": 15
 },
 {
  "Linea": "XDM",
  "No cumplio": 0,
  "Si Cumplio": 3,
  "Sin Conteo": 12
 },
 {
  "Linea": "XDU",
  "No cumplio": 0,
  "Si Cumplio": 2,
  "Sin Conteo": 13
 },
 {
  "Linea": "MC",
  "No cumplio": 3,
  "Si Cumplio": 0,
  "Sin Conteo": 12
 },
 {
  "Linea": "Total",
  "No cumplio": 9,
  "Si Cumplio": 7,
  "Sin Conteo": 89
 }
]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9139E6-CF30-4966-A746-925923524FC6}" name="TablaDatos" displayName="TablaDatos" ref="A1:C14" totalsRowShown="0" headerRowDxfId="99" dataDxfId="98">
  <autoFilter ref="A1:C14" xr:uid="{4E9139E6-CF30-4966-A746-925923524FC6}"/>
  <tableColumns count="3">
    <tableColumn id="3" xr3:uid="{FF3378FE-855B-442D-BDEE-9D60FE5F1C52}" name="Status" dataDxfId="97"/>
    <tableColumn id="1" xr3:uid="{1C6334E6-4A3B-4D7E-8A49-F34798740827}" name="Descripcion" dataDxfId="96"/>
    <tableColumn id="2" xr3:uid="{1C1FF726-585B-4E8E-A700-64AA0B91D73B}" name="Dato" dataDxfId="95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D890C1-C747-47CC-956C-0972E4A053C3}" name="APU1Cont" displayName="APU1Cont" ref="B11:E18" totalsRowCount="1">
  <autoFilter ref="B11:E17" xr:uid="{14D890C1-C747-47CC-956C-0972E4A053C3}"/>
  <tableColumns count="4">
    <tableColumn id="1" xr3:uid="{AA73EB21-DCEE-4C30-A24B-3AD3D442E0FD}" name="Linea" totalsRowLabel="Total" dataDxfId="94" totalsRowDxfId="93"/>
    <tableColumn id="2" xr3:uid="{95F28323-6D9F-40E7-8EDB-A9F2444BF5B0}" name="No cumplio" totalsRowFunction="custom" dataDxfId="92">
      <calculatedColumnFormula>COUNTIFS(Data!D2:AW2, $C$11,Data!$D$1:$AW$1, "&gt;=" &amp; Main!$I$10,Data!$D$1:$AW$1, "&lt;=" &amp; Main!$L$10)</calculatedColumnFormula>
      <totalsRowFormula>SUM(APU1Cont[No cumplio])</totalsRowFormula>
    </tableColumn>
    <tableColumn id="3" xr3:uid="{0210DF66-CD5D-41D0-9AA4-47EDE95C7CD0}" name="Si Cumplio" totalsRowFunction="custom" dataDxfId="91">
      <calculatedColumnFormula>COUNTIFS(Data!$D2:$AW2, $D$11,Data!$D$1:$AW$1, "&gt;=" &amp;Main!$I$10,Data!$D$1:$AW$1, "&lt;=" &amp; Main!$L$10)</calculatedColumnFormula>
      <totalsRowFormula>SUM(APU1Cont[Si Cumplio])</totalsRowFormula>
    </tableColumn>
    <tableColumn id="4" xr3:uid="{6AAB287E-6847-4CD5-A9D7-0D7F8871BE2A}" name="Sin Conteo" totalsRowFunction="custom" dataDxfId="90">
      <calculatedColumnFormula>COUNTIFS(Data!$D2:$AW2, $E$11,Data!$D$1:$AW$1, "&gt;=" &amp;Main!$I$10,Data!$D$1:$AW$1, "&lt;=" &amp; Main!$L$10)</calculatedColumnFormula>
      <totalsRowFormula>SUM(APU1Cont[Sin Conteo])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CBCF89-0611-466C-AA21-CE883D4FDB3E}" name="APU1Dif" displayName="APU1Dif" ref="G11:J17" totalsRowShown="0" tableBorderDxfId="89">
  <autoFilter ref="G11:J17" xr:uid="{94CBCF89-0611-466C-AA21-CE883D4FDB3E}"/>
  <tableColumns count="4">
    <tableColumn id="1" xr3:uid="{1C8B4FDF-699D-4450-B9FA-2F49FBB6626E}" name="Linea" dataDxfId="88"/>
    <tableColumn id="2" xr3:uid="{A4F5BA63-1EDD-47DD-8E68-3F8D349C31F0}" name="inventario total" dataDxfId="87">
      <calculatedColumnFormula>SUMIFS((Data!$D33:$AW33), Data!$D$31:$AW$31, H$11, Data!$D$32:$AW$32, "&gt;=" &amp; Main!$I$10, Data!$D$32:$AW$32, "&lt;=" &amp; Main!$L$10)</calculatedColumnFormula>
    </tableColumn>
    <tableColumn id="3" xr3:uid="{CD3819E5-5B0C-42D3-ABDC-A5EB430F2855}" name="diferencias" dataDxfId="86">
      <calculatedColumnFormula>SUMIFS((Data!$D33:$AW33), Data!$D$31:$AW$31, I$11, Data!$D$32:$AW$32, "&gt;=" &amp; Main!$I$10, Data!$D$32:$AW$32, "&lt;=" &amp; Main!$L$10)</calculatedColumnFormula>
    </tableColumn>
    <tableColumn id="4" xr3:uid="{F37A41DF-9860-4F13-AE2F-79E68894F201}" name="sin diferencia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18E1A-754B-4565-98A4-978880AADB28}" name="APU2Cont" displayName="APU2Cont" ref="B11:E18" totalsRowCount="1">
  <autoFilter ref="B11:E17" xr:uid="{6CF18E1A-754B-4565-98A4-978880AADB28}"/>
  <tableColumns count="4">
    <tableColumn id="1" xr3:uid="{458BC8E6-FD6B-4EDC-9996-5AB92947C041}" name="Linea" totalsRowLabel="Total" dataDxfId="84" totalsRowDxfId="83"/>
    <tableColumn id="2" xr3:uid="{4946A176-B788-4921-9306-C16074C3859A}" name="No cumplio" totalsRowFunction="custom" dataDxfId="82">
      <calculatedColumnFormula>COUNTIFS(Data!$D8:$AP8, $C$11,Data!$D$1:$AP$1, "&gt;=" &amp; Main!$I$10,Data!$D$1:$AP$1, "&lt;=" &amp; Main!$L$10)</calculatedColumnFormula>
      <totalsRowFormula>SUM(APU2Cont[No cumplio])</totalsRowFormula>
    </tableColumn>
    <tableColumn id="3" xr3:uid="{490866FF-8F8F-40E9-9460-7E4827E54A3B}" name="Si Cumplio" totalsRowFunction="custom" dataDxfId="81">
      <calculatedColumnFormula>COUNTIFS(Data!$D8:$AQ8, $D$11,Data!$D$1:$AQ$1, "&gt;=" &amp; Main!$I$10,Data!$D$1:$AQ$1, "&lt;=" &amp; Main!$L$10)</calculatedColumnFormula>
      <totalsRowFormula>SUM(APU2Cont[Si Cumplio])</totalsRowFormula>
    </tableColumn>
    <tableColumn id="4" xr3:uid="{1626479A-1483-4439-B730-2348E71CE64F}" name="Sin Conteo" totalsRowFunction="custom" dataDxfId="80">
      <calculatedColumnFormula>COUNTIFS(Data!$D8:$AP8, $E$11,Data!$D$1:$AP$1, "&gt;=" &amp; Main!$I$10,Data!$D$1:$AP$1, "&lt;=" &amp; Main!$L$10)</calculatedColumnFormula>
      <totalsRowFormula>SUM(APU2Cont[Sin Conteo])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BE52ED-E4B1-4271-A901-4DF10E35E212}" name="APU2Dif" displayName="APU2Dif" ref="G11:J17" totalsRowShown="0">
  <autoFilter ref="G11:J17" xr:uid="{A3BE52ED-E4B1-4271-A901-4DF10E35E212}"/>
  <tableColumns count="4">
    <tableColumn id="1" xr3:uid="{6CC7758C-5A56-4BD8-B8D4-93EEC9752CCB}" name="Linea" dataDxfId="79"/>
    <tableColumn id="2" xr3:uid="{853E5D54-A97A-4B3C-A6D4-3D944638875B}" name="inventario total" dataDxfId="78">
      <calculatedColumnFormula>SUMIFS((Data!$D39:$AQ39), Data!$D$31:$AQ$31, H$11, Data!$D$32:$AQ$32, "&gt;=" &amp; Main!$I$10, Data!$D$32:$AQ$32, "&lt;=" &amp; Main!$L$10)</calculatedColumnFormula>
    </tableColumn>
    <tableColumn id="3" xr3:uid="{53E833B7-3016-488F-B2F4-AE64000D1D5B}" name="diferencias" dataDxfId="77">
      <calculatedColumnFormula>SUMIFS((Data!$D39:$AQ39), Data!$D$31:$AQ$31, I$11, Data!$D$32:$AQ$32, "&gt;=" &amp; Main!$I$10, Data!$D$32:$AQ$32, "&lt;=" &amp; Main!$L$10)</calculatedColumnFormula>
    </tableColumn>
    <tableColumn id="4" xr3:uid="{A46C1090-FD7D-43EF-80B6-538116CB660B}" name="sin diferencia" dataDxfId="76">
      <calculatedColumnFormula>APU2Dif[[#This Row],[inventario total]]-APU2Dif[[#This Row],[diferencias]]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39498B-B478-4740-902D-53EB3C474A03}" name="APU3Cont" displayName="APU3Cont" ref="B11:E19" totalsRowCount="1">
  <autoFilter ref="B11:E18" xr:uid="{6039498B-B478-4740-902D-53EB3C474A03}"/>
  <tableColumns count="4">
    <tableColumn id="1" xr3:uid="{B8D2C3CF-1A0C-4598-8559-50F7A84C77DE}" name="Linea" totalsRowLabel="Total" dataDxfId="75" totalsRowDxfId="74"/>
    <tableColumn id="2" xr3:uid="{205EB49B-A701-4250-9000-3718159A564C}" name="No cumplio" totalsRowFunction="custom" dataDxfId="73">
      <calculatedColumnFormula>COUNTIFS(Data!$D14:$AP14, C$11,Data!$D$1:$AP$1, "&gt;=" &amp; Main!$I$10,Data!$D$1:$AP$1, "&lt;=" &amp; Main!$L$10)</calculatedColumnFormula>
      <totalsRowFormula>SUM(APU3Cont[No cumplio])</totalsRowFormula>
    </tableColumn>
    <tableColumn id="3" xr3:uid="{4D204E97-F883-4E9A-B85B-C0408C250076}" name="Si Cumplio" totalsRowFunction="custom" dataDxfId="72">
      <calculatedColumnFormula>COUNTIFS(Data!$D14:$AQ14, D$11,Data!$D$1:$AQ$1, "&gt;=" &amp; Main!$I$10,Data!$D$1:$AQ$1, "&lt;=" &amp; Main!$L$10)</calculatedColumnFormula>
      <totalsRowFormula>SUM(APU3Cont[Si Cumplio])</totalsRowFormula>
    </tableColumn>
    <tableColumn id="4" xr3:uid="{2FC79CF0-556F-4FFF-9959-6E4E535640F7}" name="Sin Conteo" totalsRowFunction="custom">
      <calculatedColumnFormula>COUNTIFS(Data!$D14:$AP14, E$11,Data!$D$1:$AP$1, "&gt;=" &amp; Main!$I$10,Data!$D$1:$AP$1, "&lt;=" &amp; Main!$L$10)</calculatedColumnFormula>
      <totalsRowFormula>SUM(APU3Cont[Sin Conteo])</totalsRow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978E3B4-4B0C-48F1-BA60-D9869772FFC4}" name="APU3Dif" displayName="APU3Dif" ref="G11:J18" totalsRowShown="0">
  <autoFilter ref="G11:J18" xr:uid="{1978E3B4-4B0C-48F1-BA60-D9869772FFC4}"/>
  <tableColumns count="4">
    <tableColumn id="1" xr3:uid="{E22DE8E8-65A9-48C7-AA17-D563425D327C}" name="Linea" dataDxfId="71"/>
    <tableColumn id="2" xr3:uid="{FB87F407-8744-449C-8392-6D5F2E4D705F}" name="inventario total" dataDxfId="70">
      <calculatedColumnFormula>SUMIFS((Data!$D45:$AQ45), Data!$D$31:$AQ$31, H$11, Data!D$32:$AQ$32, "&gt;=" &amp; Main!$I$10, Data!D$32:$AQ$32, "&lt;=" &amp; Main!$L$10)</calculatedColumnFormula>
    </tableColumn>
    <tableColumn id="3" xr3:uid="{92A2B425-D38B-41A9-BACA-CAC4DF8D8D0C}" name="diferencias" dataDxfId="69">
      <calculatedColumnFormula>SUMIFS((Data!$D45:$AQ45), Data!$D$31:$AQ$31, I$11, Data!$D$32:$AQ$32, "&gt;=" &amp; Main!$I$10, Data!$D$32:$AQ$32, "&lt;=" &amp; Main!$L$10)</calculatedColumnFormula>
    </tableColumn>
    <tableColumn id="4" xr3:uid="{B1D2B8CD-ECD4-4CFC-9B03-0CF70C948723}" name="sin diferencias" dataDxfId="68">
      <calculatedColumnFormula>APU3Dif[[#This Row],[inventario total]]-APU3Dif[[#This Row],[diferencias]]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94462A-B347-485D-8198-FE46B120ED97}" name="Table5" displayName="Table5" ref="A2:E8" totalsRowShown="0" headerRowDxfId="67" dataDxfId="66">
  <autoFilter ref="A2:E8" xr:uid="{3194462A-B347-485D-8198-FE46B120ED97}"/>
  <tableColumns count="5">
    <tableColumn id="1" xr3:uid="{D778F739-28DE-4D73-BEFD-4E87DAED0E3B}" name="Semana" dataDxfId="65"/>
    <tableColumn id="2" xr3:uid="{A99DE275-0A50-4641-A798-D121D3A59AC7}" name="Inicio" dataDxfId="64"/>
    <tableColumn id="3" xr3:uid="{7C8550D1-5EAA-4ECD-A6C7-AFA3931DB064}" name="Fin" dataDxfId="63"/>
    <tableColumn id="4" xr3:uid="{925B8A5A-65CB-4919-92A2-59E8865DE010}" name="Inicio Aug" dataDxfId="62"/>
    <tableColumn id="5" xr3:uid="{79A84696-7B09-459A-A518-B98132CA6DB8}" name="FinAug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4D44E-9B6B-4710-A421-FC802B625524}" name="Table53" displayName="Table53" ref="G2:K56" totalsRowShown="0" headerRowDxfId="60" dataDxfId="59">
  <autoFilter ref="G2:K56" xr:uid="{CFD4D44E-9B6B-4710-A421-FC802B625524}"/>
  <tableColumns count="5">
    <tableColumn id="1" xr3:uid="{B259BBB8-D4F5-4A41-8B29-9B247A7CFE1B}" name="Semana" dataDxfId="58"/>
    <tableColumn id="2" xr3:uid="{1448DF1F-D65E-4C41-8491-D93732BCAF25}" name="Inicio" dataDxfId="57"/>
    <tableColumn id="3" xr3:uid="{5284ECA3-9961-4AE2-A14F-A1CA2F2843A9}" name="Fin" dataDxfId="56"/>
    <tableColumn id="4" xr3:uid="{35D0B922-0ECF-43B0-9BA3-6A611EAFC1F2}" name="Inicio Aug" dataDxfId="55"/>
    <tableColumn id="5" xr3:uid="{2D89089A-4F42-421E-95D3-10EAAAEAC2CF}" name="FinAug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491E-1BBA-4F25-9CC8-A4D9EC84C384}">
  <sheetPr codeName="Sheet1"/>
  <dimension ref="A1:BB58"/>
  <sheetViews>
    <sheetView zoomScale="70" zoomScaleNormal="70" workbookViewId="0">
      <pane xSplit="1" topLeftCell="W1" activePane="topRight" state="frozen"/>
      <selection pane="topRight" activeCell="AF33" sqref="AF33:AG51"/>
    </sheetView>
  </sheetViews>
  <sheetFormatPr defaultRowHeight="15" x14ac:dyDescent="0.25"/>
  <cols>
    <col min="1" max="47" width="18.5703125" style="40" customWidth="1"/>
    <col min="48" max="49" width="18.5703125" style="40" hidden="1" customWidth="1"/>
    <col min="50" max="50" width="10" style="40" bestFit="1" customWidth="1"/>
    <col min="51" max="51" width="9.42578125" style="40" bestFit="1" customWidth="1"/>
    <col min="52" max="52" width="14.42578125" style="40" bestFit="1" customWidth="1"/>
    <col min="53" max="54" width="9.42578125" style="40" bestFit="1" customWidth="1"/>
    <col min="55" max="16384" width="9.140625" style="40"/>
  </cols>
  <sheetData>
    <row r="1" spans="1:54" x14ac:dyDescent="0.25">
      <c r="A1" s="21" t="s">
        <v>1</v>
      </c>
      <c r="B1" s="21" t="s">
        <v>0</v>
      </c>
      <c r="C1" s="21" t="s">
        <v>1</v>
      </c>
      <c r="D1" s="49">
        <v>46023</v>
      </c>
      <c r="E1" s="49"/>
      <c r="F1" s="49">
        <v>46024</v>
      </c>
      <c r="G1" s="49"/>
      <c r="H1" s="49">
        <v>46027</v>
      </c>
      <c r="I1" s="49"/>
      <c r="J1" s="49">
        <v>46028</v>
      </c>
      <c r="K1" s="49"/>
      <c r="L1" s="49">
        <v>46029</v>
      </c>
      <c r="M1" s="49"/>
      <c r="N1" s="49">
        <v>46030</v>
      </c>
      <c r="O1" s="49"/>
      <c r="P1" s="49">
        <v>46031</v>
      </c>
      <c r="Q1" s="49"/>
      <c r="R1" s="49">
        <v>46034</v>
      </c>
      <c r="S1" s="49"/>
      <c r="T1" s="49">
        <v>46035</v>
      </c>
      <c r="U1" s="49"/>
      <c r="V1" s="49">
        <v>46036</v>
      </c>
      <c r="W1" s="49"/>
      <c r="X1" s="49">
        <v>46037</v>
      </c>
      <c r="Y1" s="49"/>
      <c r="Z1" s="49">
        <v>46038</v>
      </c>
      <c r="AA1" s="49"/>
      <c r="AB1" s="49">
        <v>46041</v>
      </c>
      <c r="AC1" s="49"/>
      <c r="AD1" s="49">
        <v>46042</v>
      </c>
      <c r="AE1" s="49"/>
      <c r="AF1" s="49">
        <v>46043</v>
      </c>
      <c r="AG1" s="49"/>
      <c r="AH1" s="49">
        <v>46044</v>
      </c>
      <c r="AI1" s="49"/>
      <c r="AJ1" s="49">
        <v>46045</v>
      </c>
      <c r="AK1" s="49"/>
      <c r="AL1" s="49">
        <v>46048</v>
      </c>
      <c r="AM1" s="49"/>
      <c r="AN1" s="49">
        <v>46049</v>
      </c>
      <c r="AO1" s="49"/>
      <c r="AP1" s="49">
        <v>46050</v>
      </c>
      <c r="AQ1" s="49"/>
      <c r="AR1" s="49">
        <v>46051</v>
      </c>
      <c r="AS1" s="49"/>
      <c r="AT1" s="49">
        <v>46052</v>
      </c>
      <c r="AU1" s="49"/>
      <c r="AV1" s="47">
        <v>46387</v>
      </c>
      <c r="AW1" s="48"/>
      <c r="AX1" s="21" t="s">
        <v>2</v>
      </c>
      <c r="AY1" s="21" t="s">
        <v>3</v>
      </c>
      <c r="AZ1" s="21" t="s">
        <v>4</v>
      </c>
    </row>
    <row r="2" spans="1:54" x14ac:dyDescent="0.25">
      <c r="A2" s="7" t="s">
        <v>5</v>
      </c>
      <c r="B2" s="7" t="s">
        <v>6</v>
      </c>
      <c r="C2" s="7" t="s">
        <v>5</v>
      </c>
      <c r="D2" s="46" t="s">
        <v>68</v>
      </c>
      <c r="E2" s="46"/>
      <c r="F2" s="46" t="s">
        <v>68</v>
      </c>
      <c r="G2" s="46"/>
      <c r="H2" s="46" t="s">
        <v>68</v>
      </c>
      <c r="I2" s="46"/>
      <c r="J2" s="46" t="s">
        <v>68</v>
      </c>
      <c r="K2" s="46"/>
      <c r="L2" s="46" t="s">
        <v>68</v>
      </c>
      <c r="M2" s="46"/>
      <c r="N2" s="46" t="s">
        <v>68</v>
      </c>
      <c r="O2" s="46"/>
      <c r="P2" s="46" t="s">
        <v>68</v>
      </c>
      <c r="Q2" s="46"/>
      <c r="R2" s="46" t="s">
        <v>68</v>
      </c>
      <c r="S2" s="46"/>
      <c r="T2" s="46" t="s">
        <v>68</v>
      </c>
      <c r="U2" s="46"/>
      <c r="V2" s="46" t="s">
        <v>68</v>
      </c>
      <c r="W2" s="46"/>
      <c r="X2" s="46" t="s">
        <v>68</v>
      </c>
      <c r="Y2" s="46"/>
      <c r="Z2" s="46" t="s">
        <v>68</v>
      </c>
      <c r="AA2" s="46"/>
      <c r="AB2" s="46" t="s">
        <v>7</v>
      </c>
      <c r="AC2" s="46"/>
      <c r="AD2" s="46" t="s">
        <v>7</v>
      </c>
      <c r="AE2" s="46"/>
      <c r="AF2" s="46" t="s">
        <v>7</v>
      </c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21">
        <f>COUNTIFS(D2:AW2,"No cumplio",$D$1:$AW$1, "&gt;=" &amp; Main!$I$10,$D$1:$AW$1, "&lt;=" &amp; Main!$L$10)</f>
        <v>3</v>
      </c>
      <c r="AY2" s="21">
        <f>COUNTIFS($D2:$AW2, "Si cumplio",$D$1:$AW$1, "&gt;=" &amp; Main!$I$10,$D$1:$AW$1, "&lt;=" &amp; Main!$L$10)</f>
        <v>0</v>
      </c>
      <c r="AZ2" s="21">
        <f>COUNTIFS($D2:$AW2, "Sin Conteo",$D$1:$AW$1, "&gt;=" &amp; Main!$I$10,$D$1:$AW$1, "&lt;=" &amp; Main!$L$10)</f>
        <v>12</v>
      </c>
      <c r="BA2" s="42">
        <f>SUM(AY2:AY20)/SUM(AX2:AY20)</f>
        <v>0.5714285714285714</v>
      </c>
      <c r="BB2" s="42">
        <f>SUM(AX2:AX20)/SUM(AX2:AY20)</f>
        <v>0.42857142857142855</v>
      </c>
    </row>
    <row r="3" spans="1:54" x14ac:dyDescent="0.25">
      <c r="A3" s="7" t="s">
        <v>8</v>
      </c>
      <c r="B3" s="7" t="s">
        <v>6</v>
      </c>
      <c r="C3" s="7" t="s">
        <v>8</v>
      </c>
      <c r="D3" s="46" t="s">
        <v>68</v>
      </c>
      <c r="E3" s="46"/>
      <c r="F3" s="46" t="s">
        <v>68</v>
      </c>
      <c r="G3" s="46"/>
      <c r="H3" s="46" t="s">
        <v>68</v>
      </c>
      <c r="I3" s="46"/>
      <c r="J3" s="46" t="s">
        <v>68</v>
      </c>
      <c r="K3" s="46"/>
      <c r="L3" s="46" t="s">
        <v>68</v>
      </c>
      <c r="M3" s="46"/>
      <c r="N3" s="46" t="s">
        <v>68</v>
      </c>
      <c r="O3" s="46"/>
      <c r="P3" s="46" t="s">
        <v>68</v>
      </c>
      <c r="Q3" s="46"/>
      <c r="R3" s="46" t="s">
        <v>68</v>
      </c>
      <c r="S3" s="46"/>
      <c r="T3" s="46" t="s">
        <v>68</v>
      </c>
      <c r="U3" s="46"/>
      <c r="V3" s="46" t="s">
        <v>68</v>
      </c>
      <c r="W3" s="46"/>
      <c r="X3" s="46" t="s">
        <v>68</v>
      </c>
      <c r="Y3" s="46"/>
      <c r="Z3" s="46" t="s">
        <v>68</v>
      </c>
      <c r="AA3" s="46"/>
      <c r="AB3" s="46" t="s">
        <v>69</v>
      </c>
      <c r="AC3" s="46"/>
      <c r="AD3" s="46" t="s">
        <v>69</v>
      </c>
      <c r="AE3" s="46"/>
      <c r="AF3" s="46" t="s">
        <v>7</v>
      </c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21">
        <f>COUNTIFS(D3:AW3,"No cumplio",$D$1:$AW$1, "&gt;=" &amp; Main!$I$10,$D$1:$AW$1, "&lt;=" &amp; Main!$L$10)</f>
        <v>1</v>
      </c>
      <c r="AY3" s="21">
        <f>COUNTIFS($D3:$AW3, "Si cumplio",$D$1:$AW$1, "&gt;=" &amp; Main!$I$10,$D$1:$AW$1, "&lt;=" &amp; Main!$L$10)</f>
        <v>2</v>
      </c>
      <c r="AZ3" s="21">
        <f>COUNTIFS($D3:$AW3, "Sin Conteo",$D$1:$AW$1, "&gt;=" &amp; Main!$I$10,$D$1:$AW$1, "&lt;=" &amp; Main!$L$10)</f>
        <v>12</v>
      </c>
      <c r="BA3" s="43"/>
      <c r="BB3" s="43"/>
    </row>
    <row r="4" spans="1:54" x14ac:dyDescent="0.25">
      <c r="A4" s="7" t="s">
        <v>9</v>
      </c>
      <c r="B4" s="7" t="s">
        <v>6</v>
      </c>
      <c r="C4" s="7" t="s">
        <v>9</v>
      </c>
      <c r="D4" s="46" t="s">
        <v>68</v>
      </c>
      <c r="E4" s="46"/>
      <c r="F4" s="46" t="s">
        <v>68</v>
      </c>
      <c r="G4" s="46"/>
      <c r="H4" s="46" t="s">
        <v>68</v>
      </c>
      <c r="I4" s="46"/>
      <c r="J4" s="46" t="s">
        <v>68</v>
      </c>
      <c r="K4" s="46"/>
      <c r="L4" s="46" t="s">
        <v>68</v>
      </c>
      <c r="M4" s="46"/>
      <c r="N4" s="46" t="s">
        <v>68</v>
      </c>
      <c r="O4" s="46"/>
      <c r="P4" s="46" t="s">
        <v>68</v>
      </c>
      <c r="Q4" s="46"/>
      <c r="R4" s="46" t="s">
        <v>68</v>
      </c>
      <c r="S4" s="46"/>
      <c r="T4" s="46" t="s">
        <v>68</v>
      </c>
      <c r="U4" s="46"/>
      <c r="V4" s="46" t="s">
        <v>68</v>
      </c>
      <c r="W4" s="46"/>
      <c r="X4" s="46" t="s">
        <v>68</v>
      </c>
      <c r="Y4" s="46"/>
      <c r="Z4" s="46" t="s">
        <v>68</v>
      </c>
      <c r="AA4" s="46"/>
      <c r="AB4" s="46" t="s">
        <v>7</v>
      </c>
      <c r="AC4" s="46"/>
      <c r="AD4" s="46" t="s">
        <v>7</v>
      </c>
      <c r="AE4" s="46"/>
      <c r="AF4" s="46" t="s">
        <v>7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21">
        <f>COUNTIFS(D4:AW4,"No cumplio",$D$1:$AW$1, "&gt;=" &amp; Main!$I$10,$D$1:$AW$1, "&lt;=" &amp; Main!$L$10)</f>
        <v>3</v>
      </c>
      <c r="AY4" s="21">
        <f>COUNTIFS($D4:$AW4, "Si cumplio",$D$1:$AW$1, "&gt;=" &amp; Main!$I$10,$D$1:$AW$1, "&lt;=" &amp; Main!$L$10)</f>
        <v>0</v>
      </c>
      <c r="AZ4" s="21">
        <f>COUNTIFS($D4:$AW4, "Sin Conteo",$D$1:$AW$1, "&gt;=" &amp; Main!$I$10,$D$1:$AW$1, "&lt;=" &amp; Main!$L$10)</f>
        <v>12</v>
      </c>
      <c r="BA4" s="43"/>
      <c r="BB4" s="43"/>
    </row>
    <row r="5" spans="1:54" x14ac:dyDescent="0.25">
      <c r="A5" s="7" t="s">
        <v>11</v>
      </c>
      <c r="B5" s="7" t="s">
        <v>6</v>
      </c>
      <c r="C5" s="7" t="s">
        <v>11</v>
      </c>
      <c r="D5" s="46" t="s">
        <v>68</v>
      </c>
      <c r="E5" s="46"/>
      <c r="F5" s="46" t="s">
        <v>68</v>
      </c>
      <c r="G5" s="46"/>
      <c r="H5" s="46" t="s">
        <v>68</v>
      </c>
      <c r="I5" s="46"/>
      <c r="J5" s="46" t="s">
        <v>68</v>
      </c>
      <c r="K5" s="46"/>
      <c r="L5" s="46" t="s">
        <v>68</v>
      </c>
      <c r="M5" s="46"/>
      <c r="N5" s="46" t="s">
        <v>68</v>
      </c>
      <c r="O5" s="46"/>
      <c r="P5" s="46" t="s">
        <v>68</v>
      </c>
      <c r="Q5" s="46"/>
      <c r="R5" s="46" t="s">
        <v>68</v>
      </c>
      <c r="S5" s="46"/>
      <c r="T5" s="46" t="s">
        <v>68</v>
      </c>
      <c r="U5" s="46"/>
      <c r="V5" s="46" t="s">
        <v>68</v>
      </c>
      <c r="W5" s="46"/>
      <c r="X5" s="46" t="s">
        <v>68</v>
      </c>
      <c r="Y5" s="46"/>
      <c r="Z5" s="46" t="s">
        <v>68</v>
      </c>
      <c r="AA5" s="46"/>
      <c r="AB5" s="46" t="s">
        <v>69</v>
      </c>
      <c r="AC5" s="46"/>
      <c r="AD5" s="46" t="s">
        <v>69</v>
      </c>
      <c r="AE5" s="46"/>
      <c r="AF5" s="46" t="s">
        <v>69</v>
      </c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21">
        <f>COUNTIFS(D5:AW5,"No cumplio",$D$1:$AW$1, "&gt;=" &amp; Main!$I$10,$D$1:$AW$1, "&lt;=" &amp; Main!$L$10)</f>
        <v>0</v>
      </c>
      <c r="AY5" s="21">
        <f>COUNTIFS($D5:$AW5, "Si cumplio",$D$1:$AW$1, "&gt;=" &amp; Main!$I$10,$D$1:$AW$1, "&lt;=" &amp; Main!$L$10)</f>
        <v>3</v>
      </c>
      <c r="AZ5" s="21">
        <f>COUNTIFS($D5:$AW5, "Sin Conteo",$D$1:$AW$1, "&gt;=" &amp; Main!$I$10,$D$1:$AW$1, "&lt;=" &amp; Main!$L$10)</f>
        <v>12</v>
      </c>
      <c r="BA5" s="43"/>
      <c r="BB5" s="43"/>
    </row>
    <row r="6" spans="1:54" x14ac:dyDescent="0.25">
      <c r="A6" s="7" t="s">
        <v>12</v>
      </c>
      <c r="B6" s="7" t="s">
        <v>6</v>
      </c>
      <c r="C6" s="7" t="s">
        <v>12</v>
      </c>
      <c r="D6" s="46" t="s">
        <v>68</v>
      </c>
      <c r="E6" s="46"/>
      <c r="F6" s="46" t="s">
        <v>68</v>
      </c>
      <c r="G6" s="46"/>
      <c r="H6" s="46" t="s">
        <v>68</v>
      </c>
      <c r="I6" s="46"/>
      <c r="J6" s="46" t="s">
        <v>68</v>
      </c>
      <c r="K6" s="46"/>
      <c r="L6" s="46" t="s">
        <v>68</v>
      </c>
      <c r="M6" s="46"/>
      <c r="N6" s="46" t="s">
        <v>68</v>
      </c>
      <c r="O6" s="46"/>
      <c r="P6" s="46" t="s">
        <v>68</v>
      </c>
      <c r="Q6" s="46"/>
      <c r="R6" s="46" t="s">
        <v>68</v>
      </c>
      <c r="S6" s="46"/>
      <c r="T6" s="46" t="s">
        <v>68</v>
      </c>
      <c r="U6" s="46"/>
      <c r="V6" s="46" t="s">
        <v>68</v>
      </c>
      <c r="W6" s="46"/>
      <c r="X6" s="46" t="s">
        <v>68</v>
      </c>
      <c r="Y6" s="46"/>
      <c r="Z6" s="46" t="s">
        <v>68</v>
      </c>
      <c r="AA6" s="46"/>
      <c r="AB6" s="46" t="s">
        <v>69</v>
      </c>
      <c r="AC6" s="46"/>
      <c r="AD6" s="46" t="s">
        <v>68</v>
      </c>
      <c r="AE6" s="46"/>
      <c r="AF6" s="46" t="s">
        <v>68</v>
      </c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21">
        <f>COUNTIFS(D6:AW6,"No cumplio",$D$1:$AW$1, "&gt;=" &amp; Main!$I$10,$D$1:$AW$1, "&lt;=" &amp; Main!$L$10)</f>
        <v>0</v>
      </c>
      <c r="AY6" s="21">
        <f>COUNTIFS($D6:$AW6, "Si cumplio",$D$1:$AW$1, "&gt;=" &amp; Main!$I$10,$D$1:$AW$1, "&lt;=" &amp; Main!$L$10)</f>
        <v>1</v>
      </c>
      <c r="AZ6" s="21">
        <f>COUNTIFS($D6:$AW6, "Sin Conteo",$D$1:$AW$1, "&gt;=" &amp; Main!$I$10,$D$1:$AW$1, "&lt;=" &amp; Main!$L$10)</f>
        <v>14</v>
      </c>
    </row>
    <row r="7" spans="1:54" x14ac:dyDescent="0.25">
      <c r="A7" s="7" t="s">
        <v>13</v>
      </c>
      <c r="B7" s="7" t="s">
        <v>6</v>
      </c>
      <c r="C7" s="7" t="s">
        <v>13</v>
      </c>
      <c r="D7" s="46" t="s">
        <v>68</v>
      </c>
      <c r="E7" s="46"/>
      <c r="F7" s="46" t="s">
        <v>68</v>
      </c>
      <c r="G7" s="46"/>
      <c r="H7" s="46" t="s">
        <v>68</v>
      </c>
      <c r="I7" s="46"/>
      <c r="J7" s="46" t="s">
        <v>68</v>
      </c>
      <c r="K7" s="46"/>
      <c r="L7" s="46" t="s">
        <v>68</v>
      </c>
      <c r="M7" s="46"/>
      <c r="N7" s="46" t="s">
        <v>68</v>
      </c>
      <c r="O7" s="46"/>
      <c r="P7" s="46" t="s">
        <v>68</v>
      </c>
      <c r="Q7" s="46"/>
      <c r="R7" s="46" t="s">
        <v>68</v>
      </c>
      <c r="S7" s="46"/>
      <c r="T7" s="46" t="s">
        <v>68</v>
      </c>
      <c r="U7" s="46"/>
      <c r="V7" s="46" t="s">
        <v>68</v>
      </c>
      <c r="W7" s="46"/>
      <c r="X7" s="46" t="s">
        <v>68</v>
      </c>
      <c r="Y7" s="46"/>
      <c r="Z7" s="46" t="s">
        <v>68</v>
      </c>
      <c r="AA7" s="46"/>
      <c r="AB7" s="46" t="s">
        <v>69</v>
      </c>
      <c r="AC7" s="46"/>
      <c r="AD7" s="46" t="s">
        <v>7</v>
      </c>
      <c r="AE7" s="46"/>
      <c r="AF7" s="46" t="s">
        <v>69</v>
      </c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21">
        <f>COUNTIFS(D7:AW7,"No cumplio",$D$1:$AW$1, "&gt;=" &amp; Main!$I$10,$D$1:$AW$1, "&lt;=" &amp; Main!$L$10)</f>
        <v>1</v>
      </c>
      <c r="AY7" s="21">
        <f>COUNTIFS($D7:$AW7, "Si cumplio",$D$1:$AW$1, "&gt;=" &amp; Main!$I$10,$D$1:$AW$1, "&lt;=" &amp; Main!$L$10)</f>
        <v>2</v>
      </c>
      <c r="AZ7" s="21">
        <f>COUNTIFS($D7:$AW7, "Sin Conteo",$D$1:$AW$1, "&gt;=" &amp; Main!$I$10,$D$1:$AW$1, "&lt;=" &amp; Main!$L$10)</f>
        <v>12</v>
      </c>
    </row>
    <row r="8" spans="1:54" x14ac:dyDescent="0.25">
      <c r="A8" s="22" t="s">
        <v>14</v>
      </c>
      <c r="B8" s="22" t="s">
        <v>15</v>
      </c>
      <c r="C8" s="22" t="s">
        <v>14</v>
      </c>
      <c r="D8" s="46" t="s">
        <v>68</v>
      </c>
      <c r="E8" s="46"/>
      <c r="F8" s="46" t="s">
        <v>68</v>
      </c>
      <c r="G8" s="46"/>
      <c r="H8" s="46" t="s">
        <v>68</v>
      </c>
      <c r="I8" s="46"/>
      <c r="J8" s="46" t="s">
        <v>68</v>
      </c>
      <c r="K8" s="46"/>
      <c r="L8" s="46" t="s">
        <v>68</v>
      </c>
      <c r="M8" s="46"/>
      <c r="N8" s="46" t="s">
        <v>68</v>
      </c>
      <c r="O8" s="46"/>
      <c r="P8" s="46" t="s">
        <v>68</v>
      </c>
      <c r="Q8" s="46"/>
      <c r="R8" s="46" t="s">
        <v>68</v>
      </c>
      <c r="S8" s="46"/>
      <c r="T8" s="46" t="s">
        <v>68</v>
      </c>
      <c r="U8" s="46"/>
      <c r="V8" s="46" t="s">
        <v>68</v>
      </c>
      <c r="W8" s="46"/>
      <c r="X8" s="46" t="s">
        <v>68</v>
      </c>
      <c r="Y8" s="46"/>
      <c r="Z8" s="46" t="s">
        <v>68</v>
      </c>
      <c r="AA8" s="46"/>
      <c r="AB8" s="46" t="s">
        <v>69</v>
      </c>
      <c r="AC8" s="46"/>
      <c r="AD8" s="46" t="s">
        <v>69</v>
      </c>
      <c r="AE8" s="46"/>
      <c r="AF8" s="46" t="s">
        <v>69</v>
      </c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21">
        <f>COUNTIFS(D8:AW8,"No cumplio",$D$1:$AW$1, "&gt;=" &amp; Main!$I$10,$D$1:$AW$1, "&lt;=" &amp; Main!$L$10)</f>
        <v>0</v>
      </c>
      <c r="AY8" s="21">
        <f>COUNTIFS($D8:$AW8, "Si cumplio",$D$1:$AW$1, "&gt;=" &amp; Main!$I$10,$D$1:$AW$1, "&lt;=" &amp; Main!$L$10)</f>
        <v>3</v>
      </c>
      <c r="AZ8" s="21">
        <f>COUNTIFS($D8:$AW8, "Sin Conteo",$D$1:$AW$1, "&gt;=" &amp; Main!$I$10,$D$1:$AW$1, "&lt;=" &amp; Main!$L$10)</f>
        <v>12</v>
      </c>
    </row>
    <row r="9" spans="1:54" x14ac:dyDescent="0.25">
      <c r="A9" s="22" t="s">
        <v>16</v>
      </c>
      <c r="B9" s="22" t="s">
        <v>15</v>
      </c>
      <c r="C9" s="22" t="s">
        <v>16</v>
      </c>
      <c r="D9" s="46" t="s">
        <v>68</v>
      </c>
      <c r="E9" s="46"/>
      <c r="F9" s="46" t="s">
        <v>68</v>
      </c>
      <c r="G9" s="46"/>
      <c r="H9" s="46" t="s">
        <v>68</v>
      </c>
      <c r="I9" s="46"/>
      <c r="J9" s="46" t="s">
        <v>68</v>
      </c>
      <c r="K9" s="46"/>
      <c r="L9" s="46" t="s">
        <v>68</v>
      </c>
      <c r="M9" s="46"/>
      <c r="N9" s="46" t="s">
        <v>68</v>
      </c>
      <c r="O9" s="46"/>
      <c r="P9" s="46" t="s">
        <v>68</v>
      </c>
      <c r="Q9" s="46"/>
      <c r="R9" s="46" t="s">
        <v>68</v>
      </c>
      <c r="S9" s="46"/>
      <c r="T9" s="46" t="s">
        <v>68</v>
      </c>
      <c r="U9" s="46"/>
      <c r="V9" s="46" t="s">
        <v>68</v>
      </c>
      <c r="W9" s="46"/>
      <c r="X9" s="46" t="s">
        <v>68</v>
      </c>
      <c r="Y9" s="46"/>
      <c r="Z9" s="46" t="s">
        <v>68</v>
      </c>
      <c r="AA9" s="46"/>
      <c r="AB9" s="46" t="s">
        <v>69</v>
      </c>
      <c r="AC9" s="46"/>
      <c r="AD9" s="46" t="s">
        <v>69</v>
      </c>
      <c r="AE9" s="46"/>
      <c r="AF9" s="46" t="s">
        <v>69</v>
      </c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21">
        <f>COUNTIFS(D9:AW9,"No cumplio",$D$1:$AW$1, "&gt;=" &amp; Main!$I$10,$D$1:$AW$1, "&lt;=" &amp; Main!$L$10)</f>
        <v>0</v>
      </c>
      <c r="AY9" s="21">
        <f>COUNTIFS($D9:$AW9, "Si cumplio",$D$1:$AW$1, "&gt;=" &amp; Main!$I$10,$D$1:$AW$1, "&lt;=" &amp; Main!$L$10)</f>
        <v>3</v>
      </c>
      <c r="AZ9" s="21">
        <f>COUNTIFS($D9:$AW9, "Sin Conteo",$D$1:$AW$1, "&gt;=" &amp; Main!$I$10,$D$1:$AW$1, "&lt;=" &amp; Main!$L$10)</f>
        <v>12</v>
      </c>
    </row>
    <row r="10" spans="1:54" x14ac:dyDescent="0.25">
      <c r="A10" s="22" t="s">
        <v>17</v>
      </c>
      <c r="B10" s="22" t="s">
        <v>15</v>
      </c>
      <c r="C10" s="22" t="s">
        <v>17</v>
      </c>
      <c r="D10" s="46" t="s">
        <v>68</v>
      </c>
      <c r="E10" s="46"/>
      <c r="F10" s="46" t="s">
        <v>68</v>
      </c>
      <c r="G10" s="46"/>
      <c r="H10" s="46" t="s">
        <v>68</v>
      </c>
      <c r="I10" s="46"/>
      <c r="J10" s="46" t="s">
        <v>68</v>
      </c>
      <c r="K10" s="46"/>
      <c r="L10" s="46" t="s">
        <v>68</v>
      </c>
      <c r="M10" s="46"/>
      <c r="N10" s="46" t="s">
        <v>68</v>
      </c>
      <c r="O10" s="46"/>
      <c r="P10" s="46" t="s">
        <v>68</v>
      </c>
      <c r="Q10" s="46"/>
      <c r="R10" s="46" t="s">
        <v>68</v>
      </c>
      <c r="S10" s="46"/>
      <c r="T10" s="46" t="s">
        <v>68</v>
      </c>
      <c r="U10" s="46"/>
      <c r="V10" s="46" t="s">
        <v>68</v>
      </c>
      <c r="W10" s="46"/>
      <c r="X10" s="46" t="s">
        <v>68</v>
      </c>
      <c r="Y10" s="46"/>
      <c r="Z10" s="46" t="s">
        <v>68</v>
      </c>
      <c r="AA10" s="46"/>
      <c r="AB10" s="46" t="s">
        <v>7</v>
      </c>
      <c r="AC10" s="46"/>
      <c r="AD10" s="46" t="s">
        <v>69</v>
      </c>
      <c r="AE10" s="46"/>
      <c r="AF10" s="46" t="s">
        <v>69</v>
      </c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21">
        <f>COUNTIFS(D10:AW10,"No cumplio",$D$1:$AW$1, "&gt;=" &amp; Main!$I$10,$D$1:$AW$1, "&lt;=" &amp; Main!$L$10)</f>
        <v>1</v>
      </c>
      <c r="AY10" s="21">
        <f>COUNTIFS($D10:$AW10, "Si cumplio",$D$1:$AW$1, "&gt;=" &amp; Main!$I$10,$D$1:$AW$1, "&lt;=" &amp; Main!$L$10)</f>
        <v>2</v>
      </c>
      <c r="AZ10" s="21">
        <f>COUNTIFS($D10:$AW10, "Sin Conteo",$D$1:$AW$1, "&gt;=" &amp; Main!$I$10,$D$1:$AW$1, "&lt;=" &amp; Main!$L$10)</f>
        <v>12</v>
      </c>
    </row>
    <row r="11" spans="1:54" x14ac:dyDescent="0.25">
      <c r="A11" s="22" t="s">
        <v>18</v>
      </c>
      <c r="B11" s="22" t="s">
        <v>15</v>
      </c>
      <c r="C11" s="22" t="s">
        <v>18</v>
      </c>
      <c r="D11" s="46" t="s">
        <v>68</v>
      </c>
      <c r="E11" s="46"/>
      <c r="F11" s="46" t="s">
        <v>68</v>
      </c>
      <c r="G11" s="46"/>
      <c r="H11" s="46" t="s">
        <v>68</v>
      </c>
      <c r="I11" s="46"/>
      <c r="J11" s="46" t="s">
        <v>68</v>
      </c>
      <c r="K11" s="46"/>
      <c r="L11" s="46" t="s">
        <v>68</v>
      </c>
      <c r="M11" s="46"/>
      <c r="N11" s="46" t="s">
        <v>68</v>
      </c>
      <c r="O11" s="46"/>
      <c r="P11" s="46" t="s">
        <v>68</v>
      </c>
      <c r="Q11" s="46"/>
      <c r="R11" s="46" t="s">
        <v>68</v>
      </c>
      <c r="S11" s="46"/>
      <c r="T11" s="46" t="s">
        <v>68</v>
      </c>
      <c r="U11" s="46"/>
      <c r="V11" s="46" t="s">
        <v>68</v>
      </c>
      <c r="W11" s="46"/>
      <c r="X11" s="46" t="s">
        <v>68</v>
      </c>
      <c r="Y11" s="46"/>
      <c r="Z11" s="46" t="s">
        <v>68</v>
      </c>
      <c r="AA11" s="46"/>
      <c r="AB11" s="46" t="s">
        <v>69</v>
      </c>
      <c r="AC11" s="46"/>
      <c r="AD11" s="46" t="s">
        <v>69</v>
      </c>
      <c r="AE11" s="46"/>
      <c r="AF11" s="46" t="s">
        <v>69</v>
      </c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21">
        <f>COUNTIFS(D11:AW11,"No cumplio",$D$1:$AW$1, "&gt;=" &amp; Main!$I$10,$D$1:$AW$1, "&lt;=" &amp; Main!$L$10)</f>
        <v>0</v>
      </c>
      <c r="AY11" s="21">
        <f>COUNTIFS($D11:$AW11, "Si cumplio",$D$1:$AW$1, "&gt;=" &amp; Main!$I$10,$D$1:$AW$1, "&lt;=" &amp; Main!$L$10)</f>
        <v>3</v>
      </c>
      <c r="AZ11" s="21">
        <f>COUNTIFS($D11:$AW11, "Sin Conteo",$D$1:$AW$1, "&gt;=" &amp; Main!$I$10,$D$1:$AW$1, "&lt;=" &amp; Main!$L$10)</f>
        <v>12</v>
      </c>
    </row>
    <row r="12" spans="1:54" x14ac:dyDescent="0.25">
      <c r="A12" s="22" t="s">
        <v>19</v>
      </c>
      <c r="B12" s="22" t="s">
        <v>15</v>
      </c>
      <c r="C12" s="22" t="s">
        <v>19</v>
      </c>
      <c r="D12" s="46" t="s">
        <v>68</v>
      </c>
      <c r="E12" s="46"/>
      <c r="F12" s="46" t="s">
        <v>68</v>
      </c>
      <c r="G12" s="46"/>
      <c r="H12" s="46" t="s">
        <v>68</v>
      </c>
      <c r="I12" s="46"/>
      <c r="J12" s="46" t="s">
        <v>68</v>
      </c>
      <c r="K12" s="46"/>
      <c r="L12" s="46" t="s">
        <v>68</v>
      </c>
      <c r="M12" s="46"/>
      <c r="N12" s="46" t="s">
        <v>68</v>
      </c>
      <c r="O12" s="46"/>
      <c r="P12" s="46" t="s">
        <v>68</v>
      </c>
      <c r="Q12" s="46"/>
      <c r="R12" s="46" t="s">
        <v>68</v>
      </c>
      <c r="S12" s="46"/>
      <c r="T12" s="46" t="s">
        <v>68</v>
      </c>
      <c r="U12" s="46"/>
      <c r="V12" s="46" t="s">
        <v>68</v>
      </c>
      <c r="W12" s="46"/>
      <c r="X12" s="46" t="s">
        <v>68</v>
      </c>
      <c r="Y12" s="46"/>
      <c r="Z12" s="46" t="s">
        <v>68</v>
      </c>
      <c r="AA12" s="46"/>
      <c r="AB12" s="46" t="s">
        <v>7</v>
      </c>
      <c r="AC12" s="46"/>
      <c r="AD12" s="46" t="s">
        <v>69</v>
      </c>
      <c r="AE12" s="46"/>
      <c r="AF12" s="46" t="s">
        <v>7</v>
      </c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21">
        <f>COUNTIFS(D12:AW12,"No cumplio",$D$1:$AW$1, "&gt;=" &amp; Main!$I$10,$D$1:$AW$1, "&lt;=" &amp; Main!$L$10)</f>
        <v>2</v>
      </c>
      <c r="AY12" s="21">
        <f>COUNTIFS($D12:$AW12, "Si cumplio",$D$1:$AW$1, "&gt;=" &amp; Main!$I$10,$D$1:$AW$1, "&lt;=" &amp; Main!$L$10)</f>
        <v>1</v>
      </c>
      <c r="AZ12" s="21">
        <f>COUNTIFS($D12:$AW12, "Sin Conteo",$D$1:$AW$1, "&gt;=" &amp; Main!$I$10,$D$1:$AW$1, "&lt;=" &amp; Main!$L$10)</f>
        <v>12</v>
      </c>
    </row>
    <row r="13" spans="1:54" x14ac:dyDescent="0.25">
      <c r="A13" s="22" t="s">
        <v>20</v>
      </c>
      <c r="B13" s="22" t="s">
        <v>15</v>
      </c>
      <c r="C13" s="22" t="s">
        <v>20</v>
      </c>
      <c r="D13" s="46" t="s">
        <v>68</v>
      </c>
      <c r="E13" s="46"/>
      <c r="F13" s="46" t="s">
        <v>68</v>
      </c>
      <c r="G13" s="46"/>
      <c r="H13" s="46" t="s">
        <v>68</v>
      </c>
      <c r="I13" s="46"/>
      <c r="J13" s="46" t="s">
        <v>68</v>
      </c>
      <c r="K13" s="46"/>
      <c r="L13" s="46" t="s">
        <v>68</v>
      </c>
      <c r="M13" s="46"/>
      <c r="N13" s="46" t="s">
        <v>68</v>
      </c>
      <c r="O13" s="46"/>
      <c r="P13" s="46" t="s">
        <v>68</v>
      </c>
      <c r="Q13" s="46"/>
      <c r="R13" s="46" t="s">
        <v>68</v>
      </c>
      <c r="S13" s="46"/>
      <c r="T13" s="46" t="s">
        <v>68</v>
      </c>
      <c r="U13" s="46"/>
      <c r="V13" s="46" t="s">
        <v>68</v>
      </c>
      <c r="W13" s="46"/>
      <c r="X13" s="46" t="s">
        <v>68</v>
      </c>
      <c r="Y13" s="46"/>
      <c r="Z13" s="46" t="s">
        <v>68</v>
      </c>
      <c r="AA13" s="46"/>
      <c r="AB13" s="46" t="s">
        <v>69</v>
      </c>
      <c r="AC13" s="46"/>
      <c r="AD13" s="46" t="s">
        <v>68</v>
      </c>
      <c r="AE13" s="46"/>
      <c r="AF13" s="46" t="s">
        <v>7</v>
      </c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21">
        <f>COUNTIFS(D13:AW13,"No cumplio",$D$1:$AW$1, "&gt;=" &amp; Main!$I$10,$D$1:$AW$1, "&lt;=" &amp; Main!$L$10)</f>
        <v>1</v>
      </c>
      <c r="AY13" s="21">
        <f>COUNTIFS($D13:$AW13, "Si cumplio",$D$1:$AW$1, "&gt;=" &amp; Main!$I$10,$D$1:$AW$1, "&lt;=" &amp; Main!$L$10)</f>
        <v>1</v>
      </c>
      <c r="AZ13" s="21">
        <f>COUNTIFS($D13:$AW13, "Sin Conteo",$D$1:$AW$1, "&gt;=" &amp; Main!$I$10,$D$1:$AW$1, "&lt;=" &amp; Main!$L$10)</f>
        <v>13</v>
      </c>
    </row>
    <row r="14" spans="1:54" x14ac:dyDescent="0.25">
      <c r="A14" s="23" t="s">
        <v>21</v>
      </c>
      <c r="B14" s="23" t="s">
        <v>22</v>
      </c>
      <c r="C14" s="23" t="s">
        <v>21</v>
      </c>
      <c r="D14" s="46" t="s">
        <v>68</v>
      </c>
      <c r="E14" s="46"/>
      <c r="F14" s="46" t="s">
        <v>68</v>
      </c>
      <c r="G14" s="46"/>
      <c r="H14" s="46" t="s">
        <v>68</v>
      </c>
      <c r="I14" s="46"/>
      <c r="J14" s="46" t="s">
        <v>68</v>
      </c>
      <c r="K14" s="46"/>
      <c r="L14" s="46" t="s">
        <v>68</v>
      </c>
      <c r="M14" s="46"/>
      <c r="N14" s="46" t="s">
        <v>68</v>
      </c>
      <c r="O14" s="46"/>
      <c r="P14" s="46" t="s">
        <v>68</v>
      </c>
      <c r="Q14" s="46"/>
      <c r="R14" s="46" t="s">
        <v>68</v>
      </c>
      <c r="S14" s="46"/>
      <c r="T14" s="46" t="s">
        <v>68</v>
      </c>
      <c r="U14" s="46"/>
      <c r="V14" s="46" t="s">
        <v>68</v>
      </c>
      <c r="W14" s="46"/>
      <c r="X14" s="46" t="s">
        <v>68</v>
      </c>
      <c r="Y14" s="46"/>
      <c r="Z14" s="46" t="s">
        <v>68</v>
      </c>
      <c r="AA14" s="46"/>
      <c r="AB14" s="46" t="s">
        <v>69</v>
      </c>
      <c r="AC14" s="46"/>
      <c r="AD14" s="46" t="s">
        <v>68</v>
      </c>
      <c r="AE14" s="46"/>
      <c r="AF14" s="46" t="s">
        <v>69</v>
      </c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21">
        <f>COUNTIFS(D14:AW14,"No cumplio",$D$1:$AW$1, "&gt;=" &amp; Main!$I$10,$D$1:$AW$1, "&lt;=" &amp; Main!$L$10)</f>
        <v>0</v>
      </c>
      <c r="AY14" s="21">
        <f>COUNTIFS($D14:$AW14, "Si cumplio",$D$1:$AW$1, "&gt;=" &amp; Main!$I$10,$D$1:$AW$1, "&lt;=" &amp; Main!$L$10)</f>
        <v>2</v>
      </c>
      <c r="AZ14" s="21">
        <f>COUNTIFS($D14:$AW14, "Sin Conteo",$D$1:$AW$1, "&gt;=" &amp; Main!$I$10,$D$1:$AW$1, "&lt;=" &amp; Main!$L$10)</f>
        <v>13</v>
      </c>
    </row>
    <row r="15" spans="1:54" x14ac:dyDescent="0.25">
      <c r="A15" s="23" t="s">
        <v>23</v>
      </c>
      <c r="B15" s="23" t="s">
        <v>22</v>
      </c>
      <c r="C15" s="23" t="s">
        <v>23</v>
      </c>
      <c r="D15" s="46" t="s">
        <v>68</v>
      </c>
      <c r="E15" s="46"/>
      <c r="F15" s="46" t="s">
        <v>68</v>
      </c>
      <c r="G15" s="46"/>
      <c r="H15" s="46" t="s">
        <v>68</v>
      </c>
      <c r="I15" s="46"/>
      <c r="J15" s="46" t="s">
        <v>68</v>
      </c>
      <c r="K15" s="46"/>
      <c r="L15" s="46" t="s">
        <v>68</v>
      </c>
      <c r="M15" s="46"/>
      <c r="N15" s="46" t="s">
        <v>68</v>
      </c>
      <c r="O15" s="46"/>
      <c r="P15" s="46" t="s">
        <v>68</v>
      </c>
      <c r="Q15" s="46"/>
      <c r="R15" s="46" t="s">
        <v>68</v>
      </c>
      <c r="S15" s="46"/>
      <c r="T15" s="46" t="s">
        <v>68</v>
      </c>
      <c r="U15" s="46"/>
      <c r="V15" s="46" t="s">
        <v>68</v>
      </c>
      <c r="W15" s="46"/>
      <c r="X15" s="46" t="s">
        <v>68</v>
      </c>
      <c r="Y15" s="46"/>
      <c r="Z15" s="46" t="s">
        <v>68</v>
      </c>
      <c r="AA15" s="46"/>
      <c r="AB15" s="46" t="s">
        <v>7</v>
      </c>
      <c r="AC15" s="46"/>
      <c r="AD15" s="46" t="s">
        <v>7</v>
      </c>
      <c r="AE15" s="46"/>
      <c r="AF15" s="46" t="s">
        <v>7</v>
      </c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21">
        <f>COUNTIFS(D15:AW15,"No cumplio",$D$1:$AW$1, "&gt;=" &amp; Main!$I$10,$D$1:$AW$1, "&lt;=" &amp; Main!$L$10)</f>
        <v>3</v>
      </c>
      <c r="AY15" s="21">
        <f>COUNTIFS($D15:$AW15, "Si cumplio",$D$1:$AW$1, "&gt;=" &amp; Main!$I$10,$D$1:$AW$1, "&lt;=" &amp; Main!$L$10)</f>
        <v>0</v>
      </c>
      <c r="AZ15" s="21">
        <f>COUNTIFS($D15:$AW15, "Sin Conteo",$D$1:$AW$1, "&gt;=" &amp; Main!$I$10,$D$1:$AW$1, "&lt;=" &amp; Main!$L$10)</f>
        <v>12</v>
      </c>
    </row>
    <row r="16" spans="1:54" x14ac:dyDescent="0.25">
      <c r="A16" s="23" t="s">
        <v>24</v>
      </c>
      <c r="B16" s="23" t="s">
        <v>22</v>
      </c>
      <c r="C16" s="23" t="s">
        <v>24</v>
      </c>
      <c r="D16" s="46" t="s">
        <v>68</v>
      </c>
      <c r="E16" s="46"/>
      <c r="F16" s="46" t="s">
        <v>68</v>
      </c>
      <c r="G16" s="46"/>
      <c r="H16" s="46" t="s">
        <v>68</v>
      </c>
      <c r="I16" s="46"/>
      <c r="J16" s="46" t="s">
        <v>68</v>
      </c>
      <c r="K16" s="46"/>
      <c r="L16" s="46" t="s">
        <v>68</v>
      </c>
      <c r="M16" s="46"/>
      <c r="N16" s="46" t="s">
        <v>68</v>
      </c>
      <c r="O16" s="46"/>
      <c r="P16" s="46" t="s">
        <v>68</v>
      </c>
      <c r="Q16" s="46"/>
      <c r="R16" s="46" t="s">
        <v>68</v>
      </c>
      <c r="S16" s="46"/>
      <c r="T16" s="46" t="s">
        <v>68</v>
      </c>
      <c r="U16" s="46"/>
      <c r="V16" s="46" t="s">
        <v>68</v>
      </c>
      <c r="W16" s="46"/>
      <c r="X16" s="46" t="s">
        <v>68</v>
      </c>
      <c r="Y16" s="46"/>
      <c r="Z16" s="46" t="s">
        <v>68</v>
      </c>
      <c r="AA16" s="46"/>
      <c r="AB16" s="46" t="s">
        <v>7</v>
      </c>
      <c r="AC16" s="46"/>
      <c r="AD16" s="46" t="s">
        <v>7</v>
      </c>
      <c r="AE16" s="46"/>
      <c r="AF16" s="46" t="s">
        <v>7</v>
      </c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21">
        <f>COUNTIFS(D16:AW16,"No cumplio",$D$1:$AW$1, "&gt;=" &amp; Main!$I$10,$D$1:$AW$1, "&lt;=" &amp; Main!$L$10)</f>
        <v>3</v>
      </c>
      <c r="AY16" s="21">
        <f>COUNTIFS($D16:$AW16, "Si cumplio",$D$1:$AW$1, "&gt;=" &amp; Main!$I$10,$D$1:$AW$1, "&lt;=" &amp; Main!$L$10)</f>
        <v>0</v>
      </c>
      <c r="AZ16" s="21">
        <f>COUNTIFS($D16:$AW16, "Sin Conteo",$D$1:$AW$1, "&gt;=" &amp; Main!$I$10,$D$1:$AW$1, "&lt;=" &amp; Main!$L$10)</f>
        <v>12</v>
      </c>
    </row>
    <row r="17" spans="1:52" x14ac:dyDescent="0.25">
      <c r="A17" s="23" t="s">
        <v>25</v>
      </c>
      <c r="B17" s="23" t="s">
        <v>22</v>
      </c>
      <c r="C17" s="23" t="s">
        <v>25</v>
      </c>
      <c r="D17" s="46" t="s">
        <v>68</v>
      </c>
      <c r="E17" s="46"/>
      <c r="F17" s="46" t="s">
        <v>68</v>
      </c>
      <c r="G17" s="46"/>
      <c r="H17" s="46" t="s">
        <v>68</v>
      </c>
      <c r="I17" s="46"/>
      <c r="J17" s="46" t="s">
        <v>68</v>
      </c>
      <c r="K17" s="46"/>
      <c r="L17" s="46" t="s">
        <v>68</v>
      </c>
      <c r="M17" s="46"/>
      <c r="N17" s="46" t="s">
        <v>68</v>
      </c>
      <c r="O17" s="46"/>
      <c r="P17" s="46" t="s">
        <v>68</v>
      </c>
      <c r="Q17" s="46"/>
      <c r="R17" s="46" t="s">
        <v>68</v>
      </c>
      <c r="S17" s="46"/>
      <c r="T17" s="46" t="s">
        <v>68</v>
      </c>
      <c r="U17" s="46"/>
      <c r="V17" s="46" t="s">
        <v>68</v>
      </c>
      <c r="W17" s="46"/>
      <c r="X17" s="46" t="s">
        <v>68</v>
      </c>
      <c r="Y17" s="46"/>
      <c r="Z17" s="46" t="s">
        <v>68</v>
      </c>
      <c r="AA17" s="46"/>
      <c r="AB17" s="46" t="s">
        <v>68</v>
      </c>
      <c r="AC17" s="46"/>
      <c r="AD17" s="46" t="s">
        <v>68</v>
      </c>
      <c r="AE17" s="46"/>
      <c r="AF17" s="46" t="s">
        <v>68</v>
      </c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21">
        <f>COUNTIFS(D17:AW17,"No cumplio",$D$1:$AW$1, "&gt;=" &amp; Main!$I$10,$D$1:$AW$1, "&lt;=" &amp; Main!$L$10)</f>
        <v>0</v>
      </c>
      <c r="AY17" s="21">
        <f>COUNTIFS($D17:$AW17, "Si cumplio",$D$1:$AW$1, "&gt;=" &amp; Main!$I$10,$D$1:$AW$1, "&lt;=" &amp; Main!$L$10)</f>
        <v>0</v>
      </c>
      <c r="AZ17" s="21">
        <f>COUNTIFS($D17:$AW17, "Sin Conteo",$D$1:$AW$1, "&gt;=" &amp; Main!$I$10,$D$1:$AW$1, "&lt;=" &amp; Main!$L$10)</f>
        <v>15</v>
      </c>
    </row>
    <row r="18" spans="1:52" x14ac:dyDescent="0.25">
      <c r="A18" s="23" t="s">
        <v>26</v>
      </c>
      <c r="B18" s="23" t="s">
        <v>22</v>
      </c>
      <c r="C18" s="23" t="s">
        <v>26</v>
      </c>
      <c r="D18" s="46" t="s">
        <v>68</v>
      </c>
      <c r="E18" s="46"/>
      <c r="F18" s="46" t="s">
        <v>68</v>
      </c>
      <c r="G18" s="46"/>
      <c r="H18" s="46" t="s">
        <v>68</v>
      </c>
      <c r="I18" s="46"/>
      <c r="J18" s="46" t="s">
        <v>68</v>
      </c>
      <c r="K18" s="46"/>
      <c r="L18" s="46" t="s">
        <v>68</v>
      </c>
      <c r="M18" s="46"/>
      <c r="N18" s="46" t="s">
        <v>68</v>
      </c>
      <c r="O18" s="46"/>
      <c r="P18" s="46" t="s">
        <v>68</v>
      </c>
      <c r="Q18" s="46"/>
      <c r="R18" s="46" t="s">
        <v>68</v>
      </c>
      <c r="S18" s="46"/>
      <c r="T18" s="46" t="s">
        <v>68</v>
      </c>
      <c r="U18" s="46"/>
      <c r="V18" s="46" t="s">
        <v>68</v>
      </c>
      <c r="W18" s="46"/>
      <c r="X18" s="46" t="s">
        <v>68</v>
      </c>
      <c r="Y18" s="46"/>
      <c r="Z18" s="46" t="s">
        <v>68</v>
      </c>
      <c r="AA18" s="46"/>
      <c r="AB18" s="46" t="s">
        <v>69</v>
      </c>
      <c r="AC18" s="46"/>
      <c r="AD18" s="46" t="s">
        <v>69</v>
      </c>
      <c r="AE18" s="46"/>
      <c r="AF18" s="46" t="s">
        <v>69</v>
      </c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21">
        <f>COUNTIFS(D18:AW18,"No cumplio",$D$1:$AW$1, "&gt;=" &amp; Main!$I$10,$D$1:$AW$1, "&lt;=" &amp; Main!$L$10)</f>
        <v>0</v>
      </c>
      <c r="AY18" s="21">
        <f>COUNTIFS($D18:$AW18, "Si cumplio",$D$1:$AW$1, "&gt;=" &amp; Main!$I$10,$D$1:$AW$1, "&lt;=" &amp; Main!$L$10)</f>
        <v>3</v>
      </c>
      <c r="AZ18" s="21">
        <f>COUNTIFS($D18:$AW18, "Sin Conteo",$D$1:$AW$1, "&gt;=" &amp; Main!$I$10,$D$1:$AW$1, "&lt;=" &amp; Main!$L$10)</f>
        <v>12</v>
      </c>
    </row>
    <row r="19" spans="1:52" x14ac:dyDescent="0.25">
      <c r="A19" s="23" t="s">
        <v>27</v>
      </c>
      <c r="B19" s="23" t="s">
        <v>22</v>
      </c>
      <c r="C19" s="23" t="s">
        <v>27</v>
      </c>
      <c r="D19" s="46" t="s">
        <v>68</v>
      </c>
      <c r="E19" s="46"/>
      <c r="F19" s="46" t="s">
        <v>68</v>
      </c>
      <c r="G19" s="46"/>
      <c r="H19" s="46" t="s">
        <v>68</v>
      </c>
      <c r="I19" s="46"/>
      <c r="J19" s="46" t="s">
        <v>68</v>
      </c>
      <c r="K19" s="46"/>
      <c r="L19" s="46" t="s">
        <v>68</v>
      </c>
      <c r="M19" s="46"/>
      <c r="N19" s="46" t="s">
        <v>68</v>
      </c>
      <c r="O19" s="46"/>
      <c r="P19" s="46" t="s">
        <v>68</v>
      </c>
      <c r="Q19" s="46"/>
      <c r="R19" s="46" t="s">
        <v>68</v>
      </c>
      <c r="S19" s="46"/>
      <c r="T19" s="46" t="s">
        <v>68</v>
      </c>
      <c r="U19" s="46"/>
      <c r="V19" s="46" t="s">
        <v>68</v>
      </c>
      <c r="W19" s="46"/>
      <c r="X19" s="46" t="s">
        <v>68</v>
      </c>
      <c r="Y19" s="46"/>
      <c r="Z19" s="46" t="s">
        <v>68</v>
      </c>
      <c r="AA19" s="46"/>
      <c r="AB19" s="46" t="s">
        <v>69</v>
      </c>
      <c r="AC19" s="46"/>
      <c r="AD19" s="46" t="s">
        <v>69</v>
      </c>
      <c r="AE19" s="46"/>
      <c r="AF19" s="46" t="s">
        <v>68</v>
      </c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21">
        <f>COUNTIFS(D19:AW19,"No cumplio",$D$1:$AW$1, "&gt;=" &amp; Main!$I$10,$D$1:$AW$1, "&lt;=" &amp; Main!$L$10)</f>
        <v>0</v>
      </c>
      <c r="AY19" s="21">
        <f>COUNTIFS($D19:$AW19, "Si cumplio",$D$1:$AW$1, "&gt;=" &amp; Main!$I$10,$D$1:$AW$1, "&lt;=" &amp; Main!$L$10)</f>
        <v>2</v>
      </c>
      <c r="AZ19" s="21">
        <f>COUNTIFS($D19:$AW19, "Sin Conteo",$D$1:$AW$1, "&gt;=" &amp; Main!$I$10,$D$1:$AW$1, "&lt;=" &amp; Main!$L$10)</f>
        <v>13</v>
      </c>
    </row>
    <row r="20" spans="1:52" x14ac:dyDescent="0.25">
      <c r="A20" s="23" t="s">
        <v>28</v>
      </c>
      <c r="B20" s="23" t="s">
        <v>22</v>
      </c>
      <c r="C20" s="23" t="s">
        <v>28</v>
      </c>
      <c r="D20" s="46" t="s">
        <v>68</v>
      </c>
      <c r="E20" s="46"/>
      <c r="F20" s="46" t="s">
        <v>68</v>
      </c>
      <c r="G20" s="46"/>
      <c r="H20" s="46" t="s">
        <v>68</v>
      </c>
      <c r="I20" s="46"/>
      <c r="J20" s="46" t="s">
        <v>68</v>
      </c>
      <c r="K20" s="46"/>
      <c r="L20" s="46" t="s">
        <v>68</v>
      </c>
      <c r="M20" s="46"/>
      <c r="N20" s="46" t="s">
        <v>68</v>
      </c>
      <c r="O20" s="46"/>
      <c r="P20" s="46" t="s">
        <v>68</v>
      </c>
      <c r="Q20" s="46"/>
      <c r="R20" s="46" t="s">
        <v>68</v>
      </c>
      <c r="S20" s="46"/>
      <c r="T20" s="46" t="s">
        <v>68</v>
      </c>
      <c r="U20" s="46"/>
      <c r="V20" s="46" t="s">
        <v>68</v>
      </c>
      <c r="W20" s="46"/>
      <c r="X20" s="46" t="s">
        <v>68</v>
      </c>
      <c r="Y20" s="46"/>
      <c r="Z20" s="46" t="s">
        <v>68</v>
      </c>
      <c r="AA20" s="46"/>
      <c r="AB20" s="46" t="s">
        <v>7</v>
      </c>
      <c r="AC20" s="46"/>
      <c r="AD20" s="46" t="s">
        <v>7</v>
      </c>
      <c r="AE20" s="46"/>
      <c r="AF20" s="46" t="s">
        <v>7</v>
      </c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21">
        <f>COUNTIFS(D20:AW20,"No cumplio",$D$1:$AW$1, "&gt;=" &amp; Main!$I$10,$D$1:$AW$1, "&lt;=" &amp; Main!$L$10)</f>
        <v>3</v>
      </c>
      <c r="AY20" s="21">
        <f>COUNTIFS($D20:$AW20, "Si cumplio",$D$1:$AW$1, "&gt;=" &amp; Main!$I$10,$D$1:$AW$1, "&lt;=" &amp; Main!$L$10)</f>
        <v>0</v>
      </c>
      <c r="AZ20" s="21">
        <f>COUNTIFS($D20:$AW20, "Sin Conteo",$D$1:$AW$1, "&gt;=" &amp; Main!$I$10,$D$1:$AW$1, "&lt;=" &amp; Main!$L$10)</f>
        <v>12</v>
      </c>
    </row>
    <row r="22" spans="1:52" x14ac:dyDescent="0.25">
      <c r="B22" s="46" t="s">
        <v>29</v>
      </c>
      <c r="C22" s="46"/>
      <c r="D22" s="51">
        <v>46329</v>
      </c>
      <c r="E22" s="48"/>
      <c r="F22" s="47">
        <v>46330</v>
      </c>
      <c r="G22" s="48"/>
      <c r="H22" s="47">
        <v>46331</v>
      </c>
      <c r="I22" s="48"/>
      <c r="J22" s="47">
        <v>46332</v>
      </c>
      <c r="K22" s="48"/>
      <c r="L22" s="47">
        <v>46333</v>
      </c>
      <c r="M22" s="48"/>
      <c r="N22" s="47">
        <v>46336</v>
      </c>
      <c r="O22" s="48"/>
      <c r="P22" s="47">
        <v>46337</v>
      </c>
      <c r="Q22" s="48"/>
      <c r="R22" s="47">
        <v>46338</v>
      </c>
      <c r="S22" s="48"/>
      <c r="T22" s="47">
        <v>46339</v>
      </c>
      <c r="U22" s="48"/>
      <c r="V22" s="47">
        <v>46340</v>
      </c>
      <c r="W22" s="48"/>
      <c r="X22" s="47">
        <v>46343</v>
      </c>
      <c r="Y22" s="48"/>
      <c r="Z22" s="47">
        <v>46344</v>
      </c>
      <c r="AA22" s="48"/>
      <c r="AB22" s="47">
        <v>46345</v>
      </c>
      <c r="AC22" s="48"/>
      <c r="AD22" s="47">
        <v>46346</v>
      </c>
      <c r="AE22" s="48"/>
      <c r="AF22" s="47">
        <v>46347</v>
      </c>
      <c r="AG22" s="48"/>
      <c r="AH22" s="47">
        <v>46350</v>
      </c>
      <c r="AI22" s="48"/>
      <c r="AJ22" s="47">
        <v>46351</v>
      </c>
      <c r="AK22" s="48"/>
      <c r="AL22" s="47">
        <v>46352</v>
      </c>
      <c r="AM22" s="48"/>
      <c r="AN22" s="47">
        <v>46353</v>
      </c>
      <c r="AO22" s="54"/>
      <c r="AP22" s="47">
        <v>46354</v>
      </c>
      <c r="AQ22" s="54"/>
      <c r="AR22" s="45"/>
      <c r="AS22" s="45"/>
      <c r="AT22" s="45"/>
      <c r="AU22" s="45"/>
      <c r="AV22" s="45"/>
      <c r="AW22" s="45"/>
    </row>
    <row r="23" spans="1:52" x14ac:dyDescent="0.25">
      <c r="B23" s="50" t="s">
        <v>30</v>
      </c>
      <c r="C23" s="50"/>
      <c r="D23" s="52"/>
      <c r="E23" s="53"/>
      <c r="F23" s="52"/>
      <c r="G23" s="53"/>
      <c r="H23" s="52"/>
      <c r="I23" s="53"/>
      <c r="J23" s="52"/>
      <c r="K23" s="53"/>
      <c r="L23" s="52"/>
      <c r="M23" s="53"/>
      <c r="N23" s="52"/>
      <c r="O23" s="53"/>
      <c r="P23" s="52"/>
      <c r="Q23" s="53"/>
      <c r="R23" s="52"/>
      <c r="S23" s="53"/>
      <c r="T23" s="52"/>
      <c r="U23" s="53"/>
      <c r="V23" s="52"/>
      <c r="W23" s="53"/>
      <c r="X23" s="52"/>
      <c r="Y23" s="53"/>
      <c r="Z23" s="52"/>
      <c r="AA23" s="53"/>
      <c r="AB23" s="52"/>
      <c r="AC23" s="53"/>
      <c r="AD23" s="52"/>
      <c r="AE23" s="53"/>
      <c r="AF23" s="52"/>
      <c r="AG23" s="53"/>
      <c r="AH23" s="52"/>
      <c r="AI23" s="53"/>
      <c r="AJ23" s="52"/>
      <c r="AK23" s="53"/>
      <c r="AL23" s="52"/>
      <c r="AM23" s="53"/>
      <c r="AN23" s="52"/>
      <c r="AO23" s="53"/>
      <c r="AP23" s="46"/>
      <c r="AQ23" s="46"/>
    </row>
    <row r="24" spans="1:52" x14ac:dyDescent="0.25">
      <c r="B24" s="50" t="s">
        <v>31</v>
      </c>
      <c r="C24" s="50"/>
      <c r="D24" s="52"/>
      <c r="E24" s="53"/>
      <c r="F24" s="52"/>
      <c r="G24" s="53"/>
      <c r="H24" s="52"/>
      <c r="I24" s="53"/>
      <c r="J24" s="52"/>
      <c r="K24" s="53"/>
      <c r="L24" s="52"/>
      <c r="M24" s="53"/>
      <c r="N24" s="52"/>
      <c r="O24" s="53"/>
      <c r="P24" s="52"/>
      <c r="Q24" s="53"/>
      <c r="R24" s="52"/>
      <c r="S24" s="53"/>
      <c r="T24" s="52"/>
      <c r="U24" s="53"/>
      <c r="V24" s="52"/>
      <c r="W24" s="53"/>
      <c r="X24" s="52"/>
      <c r="Y24" s="53"/>
      <c r="Z24" s="52"/>
      <c r="AA24" s="53"/>
      <c r="AB24" s="52"/>
      <c r="AC24" s="53"/>
      <c r="AD24" s="52"/>
      <c r="AE24" s="53"/>
      <c r="AF24" s="52"/>
      <c r="AG24" s="53"/>
      <c r="AH24" s="52"/>
      <c r="AI24" s="53"/>
      <c r="AJ24" s="52"/>
      <c r="AK24" s="53"/>
      <c r="AL24" s="52"/>
      <c r="AM24" s="53"/>
      <c r="AN24" s="52"/>
      <c r="AO24" s="53"/>
      <c r="AP24" s="46"/>
      <c r="AQ24" s="46"/>
    </row>
    <row r="25" spans="1:52" x14ac:dyDescent="0.25">
      <c r="B25" s="50" t="s">
        <v>32</v>
      </c>
      <c r="C25" s="50"/>
      <c r="D25" s="52"/>
      <c r="E25" s="53"/>
      <c r="F25" s="52"/>
      <c r="G25" s="53"/>
      <c r="H25" s="52"/>
      <c r="I25" s="53"/>
      <c r="J25" s="52"/>
      <c r="K25" s="53"/>
      <c r="L25" s="52"/>
      <c r="M25" s="53"/>
      <c r="N25" s="52"/>
      <c r="O25" s="53"/>
      <c r="P25" s="52"/>
      <c r="Q25" s="53"/>
      <c r="R25" s="52"/>
      <c r="S25" s="53"/>
      <c r="T25" s="52"/>
      <c r="U25" s="53"/>
      <c r="V25" s="52"/>
      <c r="W25" s="53"/>
      <c r="X25" s="52"/>
      <c r="Y25" s="53"/>
      <c r="Z25" s="52"/>
      <c r="AA25" s="53"/>
      <c r="AB25" s="52"/>
      <c r="AC25" s="53"/>
      <c r="AD25" s="52"/>
      <c r="AE25" s="53"/>
      <c r="AF25" s="52"/>
      <c r="AG25" s="53"/>
      <c r="AH25" s="52"/>
      <c r="AI25" s="53"/>
      <c r="AJ25" s="52"/>
      <c r="AK25" s="53"/>
      <c r="AL25" s="52"/>
      <c r="AM25" s="53"/>
      <c r="AN25" s="52"/>
      <c r="AO25" s="53"/>
      <c r="AP25" s="46"/>
      <c r="AQ25" s="46"/>
    </row>
    <row r="26" spans="1:52" x14ac:dyDescent="0.25">
      <c r="B26" s="50" t="s">
        <v>33</v>
      </c>
      <c r="C26" s="50"/>
      <c r="D26" s="52"/>
      <c r="E26" s="53"/>
      <c r="F26" s="52"/>
      <c r="G26" s="53"/>
      <c r="H26" s="52"/>
      <c r="I26" s="53"/>
      <c r="J26" s="52"/>
      <c r="K26" s="53"/>
      <c r="L26" s="52"/>
      <c r="M26" s="53"/>
      <c r="N26" s="52"/>
      <c r="O26" s="53"/>
      <c r="P26" s="52"/>
      <c r="Q26" s="53"/>
      <c r="R26" s="52"/>
      <c r="S26" s="53"/>
      <c r="T26" s="52"/>
      <c r="U26" s="53"/>
      <c r="V26" s="52"/>
      <c r="W26" s="53"/>
      <c r="X26" s="52"/>
      <c r="Y26" s="53"/>
      <c r="Z26" s="52"/>
      <c r="AA26" s="53"/>
      <c r="AB26" s="52"/>
      <c r="AC26" s="53"/>
      <c r="AD26" s="52"/>
      <c r="AE26" s="53"/>
      <c r="AF26" s="52"/>
      <c r="AG26" s="53"/>
      <c r="AH26" s="52"/>
      <c r="AI26" s="53"/>
      <c r="AJ26" s="52"/>
      <c r="AK26" s="53"/>
      <c r="AL26" s="52"/>
      <c r="AM26" s="53"/>
      <c r="AN26" s="52"/>
      <c r="AO26" s="53"/>
      <c r="AP26" s="46"/>
      <c r="AQ26" s="46"/>
    </row>
    <row r="27" spans="1:52" x14ac:dyDescent="0.25">
      <c r="B27" s="50" t="s">
        <v>34</v>
      </c>
      <c r="C27" s="50"/>
      <c r="D27" s="52"/>
      <c r="E27" s="53"/>
      <c r="F27" s="52"/>
      <c r="G27" s="53"/>
      <c r="H27" s="52"/>
      <c r="I27" s="53"/>
      <c r="J27" s="52"/>
      <c r="K27" s="53"/>
      <c r="L27" s="52"/>
      <c r="M27" s="53"/>
      <c r="N27" s="52"/>
      <c r="O27" s="53"/>
      <c r="P27" s="52"/>
      <c r="Q27" s="53"/>
      <c r="R27" s="52"/>
      <c r="S27" s="53"/>
      <c r="T27" s="52"/>
      <c r="U27" s="53"/>
      <c r="V27" s="52"/>
      <c r="W27" s="53"/>
      <c r="X27" s="52"/>
      <c r="Y27" s="53"/>
      <c r="Z27" s="52"/>
      <c r="AA27" s="53"/>
      <c r="AB27" s="52"/>
      <c r="AC27" s="53"/>
      <c r="AD27" s="52"/>
      <c r="AE27" s="53"/>
      <c r="AF27" s="52"/>
      <c r="AG27" s="53"/>
      <c r="AH27" s="52"/>
      <c r="AI27" s="53"/>
      <c r="AJ27" s="52"/>
      <c r="AK27" s="53"/>
      <c r="AL27" s="52"/>
      <c r="AM27" s="53"/>
      <c r="AN27" s="52"/>
      <c r="AO27" s="53"/>
      <c r="AP27" s="46"/>
      <c r="AQ27" s="46"/>
    </row>
    <row r="28" spans="1:52" x14ac:dyDescent="0.25">
      <c r="B28" s="50" t="s">
        <v>35</v>
      </c>
      <c r="C28" s="50"/>
      <c r="D28" s="52"/>
      <c r="E28" s="53"/>
      <c r="F28" s="52"/>
      <c r="G28" s="53"/>
      <c r="H28" s="52"/>
      <c r="I28" s="53"/>
      <c r="J28" s="52"/>
      <c r="K28" s="53"/>
      <c r="L28" s="52"/>
      <c r="M28" s="53"/>
      <c r="N28" s="52"/>
      <c r="O28" s="53"/>
      <c r="P28" s="52"/>
      <c r="Q28" s="53"/>
      <c r="R28" s="52"/>
      <c r="S28" s="53"/>
      <c r="T28" s="52"/>
      <c r="U28" s="53"/>
      <c r="V28" s="52"/>
      <c r="W28" s="53"/>
      <c r="X28" s="52"/>
      <c r="Y28" s="53"/>
      <c r="Z28" s="52"/>
      <c r="AA28" s="53"/>
      <c r="AB28" s="52"/>
      <c r="AC28" s="53"/>
      <c r="AD28" s="52"/>
      <c r="AE28" s="53"/>
      <c r="AF28" s="52"/>
      <c r="AG28" s="53"/>
      <c r="AH28" s="52"/>
      <c r="AI28" s="53"/>
      <c r="AJ28" s="52"/>
      <c r="AK28" s="53"/>
      <c r="AL28" s="52"/>
      <c r="AM28" s="53"/>
      <c r="AN28" s="52"/>
      <c r="AO28" s="53"/>
      <c r="AP28" s="46"/>
      <c r="AQ28" s="46"/>
    </row>
    <row r="29" spans="1:52" x14ac:dyDescent="0.25">
      <c r="B29" s="50" t="s">
        <v>36</v>
      </c>
      <c r="C29" s="50"/>
      <c r="D29" s="52"/>
      <c r="E29" s="53"/>
      <c r="F29" s="52"/>
      <c r="G29" s="53"/>
      <c r="H29" s="52"/>
      <c r="I29" s="53"/>
      <c r="J29" s="52"/>
      <c r="K29" s="53"/>
      <c r="L29" s="52"/>
      <c r="M29" s="53"/>
      <c r="N29" s="52"/>
      <c r="O29" s="53"/>
      <c r="P29" s="52"/>
      <c r="Q29" s="53"/>
      <c r="R29" s="52"/>
      <c r="S29" s="53"/>
      <c r="T29" s="52"/>
      <c r="U29" s="53"/>
      <c r="V29" s="52"/>
      <c r="W29" s="53"/>
      <c r="X29" s="52"/>
      <c r="Y29" s="53"/>
      <c r="Z29" s="52"/>
      <c r="AA29" s="53"/>
      <c r="AB29" s="52"/>
      <c r="AC29" s="53"/>
      <c r="AD29" s="52"/>
      <c r="AE29" s="53"/>
      <c r="AF29" s="52"/>
      <c r="AG29" s="53"/>
      <c r="AH29" s="52"/>
      <c r="AI29" s="53"/>
      <c r="AJ29" s="52"/>
      <c r="AK29" s="53"/>
      <c r="AL29" s="52"/>
      <c r="AM29" s="53"/>
      <c r="AN29" s="52"/>
      <c r="AO29" s="53"/>
      <c r="AP29" s="46"/>
      <c r="AQ29" s="46"/>
    </row>
    <row r="31" spans="1:52" x14ac:dyDescent="0.25">
      <c r="A31" s="21"/>
      <c r="B31" s="46" t="s">
        <v>37</v>
      </c>
      <c r="C31" s="46"/>
      <c r="D31" s="41" t="s">
        <v>38</v>
      </c>
      <c r="E31" s="41" t="s">
        <v>39</v>
      </c>
      <c r="F31" s="41" t="s">
        <v>38</v>
      </c>
      <c r="G31" s="41" t="s">
        <v>39</v>
      </c>
      <c r="H31" s="41" t="s">
        <v>38</v>
      </c>
      <c r="I31" s="41" t="s">
        <v>39</v>
      </c>
      <c r="J31" s="41" t="s">
        <v>38</v>
      </c>
      <c r="K31" s="41" t="s">
        <v>39</v>
      </c>
      <c r="L31" s="41" t="s">
        <v>38</v>
      </c>
      <c r="M31" s="41" t="s">
        <v>39</v>
      </c>
      <c r="N31" s="41" t="s">
        <v>38</v>
      </c>
      <c r="O31" s="41" t="s">
        <v>39</v>
      </c>
      <c r="P31" s="41" t="s">
        <v>38</v>
      </c>
      <c r="Q31" s="41" t="s">
        <v>39</v>
      </c>
      <c r="R31" s="41" t="s">
        <v>38</v>
      </c>
      <c r="S31" s="41" t="s">
        <v>39</v>
      </c>
      <c r="T31" s="41" t="s">
        <v>38</v>
      </c>
      <c r="U31" s="41" t="s">
        <v>39</v>
      </c>
      <c r="V31" s="41" t="s">
        <v>38</v>
      </c>
      <c r="W31" s="41" t="s">
        <v>39</v>
      </c>
      <c r="X31" s="41" t="s">
        <v>38</v>
      </c>
      <c r="Y31" s="41" t="s">
        <v>39</v>
      </c>
      <c r="Z31" s="41" t="s">
        <v>38</v>
      </c>
      <c r="AA31" s="41" t="s">
        <v>39</v>
      </c>
      <c r="AB31" s="41" t="s">
        <v>38</v>
      </c>
      <c r="AC31" s="41" t="s">
        <v>39</v>
      </c>
      <c r="AD31" s="41" t="s">
        <v>38</v>
      </c>
      <c r="AE31" s="41" t="s">
        <v>39</v>
      </c>
      <c r="AF31" s="41" t="s">
        <v>38</v>
      </c>
      <c r="AG31" s="41" t="s">
        <v>39</v>
      </c>
      <c r="AH31" s="41" t="s">
        <v>38</v>
      </c>
      <c r="AI31" s="41" t="s">
        <v>39</v>
      </c>
      <c r="AJ31" s="41" t="s">
        <v>38</v>
      </c>
      <c r="AK31" s="41" t="s">
        <v>39</v>
      </c>
      <c r="AL31" s="41" t="s">
        <v>38</v>
      </c>
      <c r="AM31" s="41" t="s">
        <v>39</v>
      </c>
      <c r="AN31" s="41" t="s">
        <v>38</v>
      </c>
      <c r="AO31" s="41" t="s">
        <v>39</v>
      </c>
      <c r="AP31" s="41" t="s">
        <v>38</v>
      </c>
      <c r="AQ31" s="41" t="s">
        <v>39</v>
      </c>
      <c r="AR31" s="41" t="s">
        <v>38</v>
      </c>
      <c r="AS31" s="41" t="s">
        <v>39</v>
      </c>
      <c r="AT31" s="41" t="s">
        <v>38</v>
      </c>
      <c r="AU31" s="41" t="s">
        <v>39</v>
      </c>
      <c r="AV31" s="41" t="s">
        <v>38</v>
      </c>
      <c r="AW31" s="41" t="s">
        <v>39</v>
      </c>
    </row>
    <row r="32" spans="1:52" x14ac:dyDescent="0.25">
      <c r="A32" s="21"/>
      <c r="B32" s="21" t="s">
        <v>0</v>
      </c>
      <c r="C32" s="21" t="s">
        <v>1</v>
      </c>
      <c r="D32" s="6">
        <v>46023</v>
      </c>
      <c r="E32" s="39">
        <v>46023</v>
      </c>
      <c r="F32" s="6">
        <v>46024</v>
      </c>
      <c r="G32" s="39">
        <v>46024</v>
      </c>
      <c r="H32" s="6">
        <v>46027</v>
      </c>
      <c r="I32" s="6">
        <v>46027</v>
      </c>
      <c r="J32" s="6">
        <v>46028</v>
      </c>
      <c r="K32" s="6">
        <v>46028</v>
      </c>
      <c r="L32" s="6">
        <v>46029</v>
      </c>
      <c r="M32" s="6">
        <v>46029</v>
      </c>
      <c r="N32" s="39">
        <v>46030</v>
      </c>
      <c r="O32" s="39">
        <v>46030</v>
      </c>
      <c r="P32" s="39">
        <v>46031</v>
      </c>
      <c r="Q32" s="39">
        <v>46031</v>
      </c>
      <c r="R32" s="39">
        <v>46034</v>
      </c>
      <c r="S32" s="39">
        <v>46034</v>
      </c>
      <c r="T32" s="39">
        <v>46035</v>
      </c>
      <c r="U32" s="39">
        <v>46035</v>
      </c>
      <c r="V32" s="39">
        <v>46036</v>
      </c>
      <c r="W32" s="39">
        <v>46036</v>
      </c>
      <c r="X32" s="39">
        <v>46037</v>
      </c>
      <c r="Y32" s="39">
        <v>46037</v>
      </c>
      <c r="Z32" s="39">
        <v>46038</v>
      </c>
      <c r="AA32" s="39">
        <v>46038</v>
      </c>
      <c r="AB32" s="39">
        <v>46041</v>
      </c>
      <c r="AC32" s="39">
        <v>46041</v>
      </c>
      <c r="AD32" s="39">
        <v>46042</v>
      </c>
      <c r="AE32" s="39">
        <v>46042</v>
      </c>
      <c r="AF32" s="39">
        <v>46043</v>
      </c>
      <c r="AG32" s="39">
        <v>46043</v>
      </c>
      <c r="AH32" s="39">
        <v>46044</v>
      </c>
      <c r="AI32" s="39">
        <v>46044</v>
      </c>
      <c r="AJ32" s="39">
        <v>46045</v>
      </c>
      <c r="AK32" s="39">
        <v>46045</v>
      </c>
      <c r="AL32" s="39">
        <v>46048</v>
      </c>
      <c r="AM32" s="39">
        <v>46048</v>
      </c>
      <c r="AN32" s="39">
        <v>46049</v>
      </c>
      <c r="AO32" s="39">
        <v>46049</v>
      </c>
      <c r="AP32" s="39">
        <v>46050</v>
      </c>
      <c r="AQ32" s="39">
        <v>46050</v>
      </c>
      <c r="AR32" s="39">
        <v>46051</v>
      </c>
      <c r="AS32" s="39">
        <v>46051</v>
      </c>
      <c r="AT32" s="39">
        <v>46052</v>
      </c>
      <c r="AU32" s="39">
        <v>46052</v>
      </c>
      <c r="AV32" s="39">
        <v>46387</v>
      </c>
      <c r="AW32" s="39">
        <v>46387</v>
      </c>
    </row>
    <row r="33" spans="1:49" x14ac:dyDescent="0.25">
      <c r="A33" s="7" t="s">
        <v>5</v>
      </c>
      <c r="B33" s="7" t="s">
        <v>6</v>
      </c>
      <c r="C33" s="7" t="s">
        <v>5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1</v>
      </c>
      <c r="AC33" s="21">
        <v>1</v>
      </c>
      <c r="AD33" s="21">
        <v>3</v>
      </c>
      <c r="AE33" s="21">
        <v>3</v>
      </c>
      <c r="AF33" s="21">
        <v>4</v>
      </c>
      <c r="AG33" s="21">
        <v>4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/>
      <c r="AW33" s="21"/>
    </row>
    <row r="34" spans="1:49" x14ac:dyDescent="0.25">
      <c r="A34" s="7" t="s">
        <v>8</v>
      </c>
      <c r="B34" s="7" t="s">
        <v>6</v>
      </c>
      <c r="C34" s="7" t="s">
        <v>8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2</v>
      </c>
      <c r="AC34" s="21">
        <v>1</v>
      </c>
      <c r="AD34" s="21">
        <v>5</v>
      </c>
      <c r="AE34" s="21">
        <v>0</v>
      </c>
      <c r="AF34" s="21">
        <v>6</v>
      </c>
      <c r="AG34" s="21">
        <v>6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/>
      <c r="AW34" s="21"/>
    </row>
    <row r="35" spans="1:49" x14ac:dyDescent="0.25">
      <c r="A35" s="7" t="s">
        <v>9</v>
      </c>
      <c r="B35" s="7" t="s">
        <v>6</v>
      </c>
      <c r="C35" s="7" t="s">
        <v>9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1</v>
      </c>
      <c r="AC35" s="21">
        <v>1</v>
      </c>
      <c r="AD35" s="21">
        <v>2</v>
      </c>
      <c r="AE35" s="21">
        <v>2</v>
      </c>
      <c r="AF35" s="21">
        <v>1</v>
      </c>
      <c r="AG35" s="21">
        <v>1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/>
      <c r="AW35" s="21"/>
    </row>
    <row r="36" spans="1:49" x14ac:dyDescent="0.25">
      <c r="A36" s="7" t="s">
        <v>11</v>
      </c>
      <c r="B36" s="7" t="s">
        <v>6</v>
      </c>
      <c r="C36" s="7" t="s">
        <v>11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8</v>
      </c>
      <c r="AC36" s="21">
        <v>1</v>
      </c>
      <c r="AD36" s="21">
        <v>9</v>
      </c>
      <c r="AE36" s="21">
        <v>3</v>
      </c>
      <c r="AF36" s="21">
        <v>9</v>
      </c>
      <c r="AG36" s="21">
        <v>1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/>
      <c r="AW36" s="21"/>
    </row>
    <row r="37" spans="1:49" x14ac:dyDescent="0.25">
      <c r="A37" s="7" t="s">
        <v>12</v>
      </c>
      <c r="B37" s="7" t="s">
        <v>6</v>
      </c>
      <c r="C37" s="7" t="s">
        <v>12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2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/>
      <c r="AW37" s="21"/>
    </row>
    <row r="38" spans="1:49" x14ac:dyDescent="0.25">
      <c r="A38" s="7" t="s">
        <v>13</v>
      </c>
      <c r="B38" s="7" t="s">
        <v>6</v>
      </c>
      <c r="C38" s="7" t="s">
        <v>13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5</v>
      </c>
      <c r="AC38" s="21">
        <v>0</v>
      </c>
      <c r="AD38" s="21">
        <v>6</v>
      </c>
      <c r="AE38" s="21">
        <v>6</v>
      </c>
      <c r="AF38" s="21">
        <v>8</v>
      </c>
      <c r="AG38" s="21">
        <v>3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/>
      <c r="AW38" s="21"/>
    </row>
    <row r="39" spans="1:49" x14ac:dyDescent="0.25">
      <c r="A39" s="22" t="s">
        <v>14</v>
      </c>
      <c r="B39" s="22" t="s">
        <v>15</v>
      </c>
      <c r="C39" s="22" t="s">
        <v>14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8</v>
      </c>
      <c r="AC39" s="21">
        <v>3</v>
      </c>
      <c r="AD39" s="21">
        <v>2</v>
      </c>
      <c r="AE39" s="21">
        <v>1</v>
      </c>
      <c r="AF39" s="21">
        <v>5</v>
      </c>
      <c r="AG39" s="21">
        <v>2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/>
      <c r="AW39" s="21"/>
    </row>
    <row r="40" spans="1:49" x14ac:dyDescent="0.25">
      <c r="A40" s="22" t="s">
        <v>16</v>
      </c>
      <c r="B40" s="22" t="s">
        <v>15</v>
      </c>
      <c r="C40" s="22" t="s">
        <v>16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5</v>
      </c>
      <c r="AC40" s="21">
        <v>1</v>
      </c>
      <c r="AD40" s="21">
        <v>4</v>
      </c>
      <c r="AE40" s="21">
        <v>2</v>
      </c>
      <c r="AF40" s="21">
        <v>12</v>
      </c>
      <c r="AG40" s="21">
        <v>4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/>
      <c r="AW40" s="21"/>
    </row>
    <row r="41" spans="1:49" x14ac:dyDescent="0.25">
      <c r="A41" s="22" t="s">
        <v>17</v>
      </c>
      <c r="B41" s="22" t="s">
        <v>15</v>
      </c>
      <c r="C41" s="22" t="s">
        <v>17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2</v>
      </c>
      <c r="AC41" s="21">
        <v>2</v>
      </c>
      <c r="AD41" s="21">
        <v>5</v>
      </c>
      <c r="AE41" s="21">
        <v>0</v>
      </c>
      <c r="AF41" s="21">
        <v>8</v>
      </c>
      <c r="AG41" s="21">
        <v>3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/>
      <c r="AW41" s="21"/>
    </row>
    <row r="42" spans="1:49" x14ac:dyDescent="0.25">
      <c r="A42" s="22" t="s">
        <v>18</v>
      </c>
      <c r="B42" s="22" t="s">
        <v>15</v>
      </c>
      <c r="C42" s="22" t="s">
        <v>18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5</v>
      </c>
      <c r="AC42" s="21">
        <v>2</v>
      </c>
      <c r="AD42" s="21">
        <v>2</v>
      </c>
      <c r="AE42" s="21">
        <v>2</v>
      </c>
      <c r="AF42" s="21">
        <v>3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/>
      <c r="AW42" s="21"/>
    </row>
    <row r="43" spans="1:49" x14ac:dyDescent="0.25">
      <c r="A43" s="22" t="s">
        <v>19</v>
      </c>
      <c r="B43" s="22" t="s">
        <v>15</v>
      </c>
      <c r="C43" s="22" t="s">
        <v>19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4</v>
      </c>
      <c r="AC43" s="21">
        <v>4</v>
      </c>
      <c r="AD43" s="21">
        <v>2</v>
      </c>
      <c r="AE43" s="21">
        <v>2</v>
      </c>
      <c r="AF43" s="21">
        <v>7</v>
      </c>
      <c r="AG43" s="21">
        <v>7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/>
      <c r="AW43" s="21"/>
    </row>
    <row r="44" spans="1:49" x14ac:dyDescent="0.25">
      <c r="A44" s="22" t="s">
        <v>20</v>
      </c>
      <c r="B44" s="22" t="s">
        <v>15</v>
      </c>
      <c r="C44" s="22" t="s">
        <v>20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1</v>
      </c>
      <c r="AC44" s="21">
        <v>0</v>
      </c>
      <c r="AD44" s="21">
        <v>0</v>
      </c>
      <c r="AE44" s="21">
        <v>0</v>
      </c>
      <c r="AF44" s="21">
        <v>1</v>
      </c>
      <c r="AG44" s="21">
        <v>1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/>
      <c r="AW44" s="21"/>
    </row>
    <row r="45" spans="1:49" x14ac:dyDescent="0.25">
      <c r="A45" s="23" t="s">
        <v>21</v>
      </c>
      <c r="B45" s="23" t="s">
        <v>22</v>
      </c>
      <c r="C45" s="23" t="s">
        <v>21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1</v>
      </c>
      <c r="AC45" s="21">
        <v>1</v>
      </c>
      <c r="AD45" s="21">
        <v>0</v>
      </c>
      <c r="AE45" s="21">
        <v>0</v>
      </c>
      <c r="AF45" s="21">
        <v>2</v>
      </c>
      <c r="AG45" s="21">
        <v>2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/>
      <c r="AW45" s="21"/>
    </row>
    <row r="46" spans="1:49" x14ac:dyDescent="0.25">
      <c r="A46" s="23" t="s">
        <v>23</v>
      </c>
      <c r="B46" s="23" t="s">
        <v>22</v>
      </c>
      <c r="C46" s="23" t="s">
        <v>23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41</v>
      </c>
      <c r="AC46" s="21">
        <v>27</v>
      </c>
      <c r="AD46" s="21">
        <v>24</v>
      </c>
      <c r="AE46" s="21">
        <v>17</v>
      </c>
      <c r="AF46" s="21">
        <v>35</v>
      </c>
      <c r="AG46" s="21">
        <v>31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/>
      <c r="AW46" s="21"/>
    </row>
    <row r="47" spans="1:49" x14ac:dyDescent="0.25">
      <c r="A47" s="23" t="s">
        <v>24</v>
      </c>
      <c r="B47" s="23" t="s">
        <v>22</v>
      </c>
      <c r="C47" s="23" t="s">
        <v>24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5</v>
      </c>
      <c r="AC47" s="21">
        <v>5</v>
      </c>
      <c r="AD47" s="21">
        <v>2</v>
      </c>
      <c r="AE47" s="21">
        <v>2</v>
      </c>
      <c r="AF47" s="21">
        <v>1</v>
      </c>
      <c r="AG47" s="21">
        <v>1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/>
      <c r="AW47" s="21"/>
    </row>
    <row r="48" spans="1:49" x14ac:dyDescent="0.25">
      <c r="A48" s="23" t="s">
        <v>25</v>
      </c>
      <c r="B48" s="23" t="s">
        <v>22</v>
      </c>
      <c r="C48" s="23" t="s">
        <v>25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/>
      <c r="AW48" s="21"/>
    </row>
    <row r="49" spans="1:49" x14ac:dyDescent="0.25">
      <c r="A49" s="23" t="s">
        <v>26</v>
      </c>
      <c r="B49" s="23" t="s">
        <v>22</v>
      </c>
      <c r="C49" s="23" t="s">
        <v>26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3</v>
      </c>
      <c r="AC49" s="21">
        <v>3</v>
      </c>
      <c r="AD49" s="21">
        <v>2</v>
      </c>
      <c r="AE49" s="21">
        <v>1</v>
      </c>
      <c r="AF49" s="21">
        <v>4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/>
      <c r="AW49" s="21"/>
    </row>
    <row r="50" spans="1:49" x14ac:dyDescent="0.25">
      <c r="A50" s="23" t="s">
        <v>27</v>
      </c>
      <c r="B50" s="23" t="s">
        <v>22</v>
      </c>
      <c r="C50" s="23" t="s">
        <v>27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1</v>
      </c>
      <c r="AC50" s="21">
        <v>1</v>
      </c>
      <c r="AD50" s="21">
        <v>1</v>
      </c>
      <c r="AE50" s="21">
        <v>1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/>
      <c r="AW50" s="21"/>
    </row>
    <row r="51" spans="1:49" x14ac:dyDescent="0.25">
      <c r="A51" s="23" t="s">
        <v>28</v>
      </c>
      <c r="B51" s="23" t="s">
        <v>22</v>
      </c>
      <c r="C51" s="23" t="s">
        <v>28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37</v>
      </c>
      <c r="AC51" s="21">
        <v>37</v>
      </c>
      <c r="AD51" s="21">
        <v>21</v>
      </c>
      <c r="AE51" s="21">
        <v>21</v>
      </c>
      <c r="AF51" s="21">
        <v>9</v>
      </c>
      <c r="AG51" s="21">
        <v>9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/>
      <c r="AW51" s="21"/>
    </row>
    <row r="57" spans="1:49" x14ac:dyDescent="0.25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E58" s="6"/>
      <c r="G58" s="6"/>
      <c r="H58" s="6"/>
      <c r="I58" s="6"/>
    </row>
  </sheetData>
  <autoFilter ref="B1:AQ20" xr:uid="{042F491E-1BBA-4F25-9CC8-A4D9EC84C384}"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  <filterColumn colId="38" showButton="0"/>
    <filterColumn colId="40" showButton="0"/>
  </autoFilter>
  <mergeCells count="629">
    <mergeCell ref="AL29:AM29"/>
    <mergeCell ref="AL28:AM28"/>
    <mergeCell ref="AL27:AM27"/>
    <mergeCell ref="AL26:AM26"/>
    <mergeCell ref="AL25:AM25"/>
    <mergeCell ref="AL24:AM24"/>
    <mergeCell ref="AL23:AM23"/>
    <mergeCell ref="AL22:AM22"/>
    <mergeCell ref="AP29:AQ29"/>
    <mergeCell ref="AP28:AQ28"/>
    <mergeCell ref="AP27:AQ27"/>
    <mergeCell ref="AP26:AQ26"/>
    <mergeCell ref="AP24:AQ24"/>
    <mergeCell ref="AP25:AQ25"/>
    <mergeCell ref="AP23:AQ23"/>
    <mergeCell ref="AP22:AQ22"/>
    <mergeCell ref="AN22:AO22"/>
    <mergeCell ref="AN23:AO23"/>
    <mergeCell ref="AN24:AO24"/>
    <mergeCell ref="AN25:AO25"/>
    <mergeCell ref="AN26:AO26"/>
    <mergeCell ref="AN27:AO27"/>
    <mergeCell ref="AN28:AO28"/>
    <mergeCell ref="AN29:AO29"/>
    <mergeCell ref="V22:W22"/>
    <mergeCell ref="V23:W23"/>
    <mergeCell ref="V24:W24"/>
    <mergeCell ref="V25:W25"/>
    <mergeCell ref="V26:W26"/>
    <mergeCell ref="V27:W27"/>
    <mergeCell ref="V28:W28"/>
    <mergeCell ref="V29:W29"/>
    <mergeCell ref="T29:U29"/>
    <mergeCell ref="T28:U28"/>
    <mergeCell ref="T27:U27"/>
    <mergeCell ref="T26:U26"/>
    <mergeCell ref="T25:U25"/>
    <mergeCell ref="T24:U24"/>
    <mergeCell ref="T22:U22"/>
    <mergeCell ref="T23:U23"/>
    <mergeCell ref="AD22:AE22"/>
    <mergeCell ref="AB22:AC22"/>
    <mergeCell ref="Z22:AA22"/>
    <mergeCell ref="X29:Y29"/>
    <mergeCell ref="X28:Y28"/>
    <mergeCell ref="X27:Y27"/>
    <mergeCell ref="X26:Y26"/>
    <mergeCell ref="X23:Y23"/>
    <mergeCell ref="X24:Y24"/>
    <mergeCell ref="X25:Y25"/>
    <mergeCell ref="X22:Y22"/>
    <mergeCell ref="AF24:AG24"/>
    <mergeCell ref="AF23:AG23"/>
    <mergeCell ref="AF22:AG22"/>
    <mergeCell ref="Z29:AA29"/>
    <mergeCell ref="AB29:AC29"/>
    <mergeCell ref="AD29:AE29"/>
    <mergeCell ref="AD28:AE28"/>
    <mergeCell ref="AB28:AC28"/>
    <mergeCell ref="Z28:AA28"/>
    <mergeCell ref="Z27:AA27"/>
    <mergeCell ref="AB27:AC27"/>
    <mergeCell ref="AD27:AE27"/>
    <mergeCell ref="AD26:AE26"/>
    <mergeCell ref="AB26:AC26"/>
    <mergeCell ref="Z26:AA26"/>
    <mergeCell ref="Z25:AA25"/>
    <mergeCell ref="AB25:AC25"/>
    <mergeCell ref="AD25:AE25"/>
    <mergeCell ref="AD24:AE24"/>
    <mergeCell ref="AB24:AC24"/>
    <mergeCell ref="Z24:AA24"/>
    <mergeCell ref="Z23:AA23"/>
    <mergeCell ref="AB23:AC23"/>
    <mergeCell ref="AD23:AE23"/>
    <mergeCell ref="AJ24:AK24"/>
    <mergeCell ref="AJ23:AK23"/>
    <mergeCell ref="AJ22:AK22"/>
    <mergeCell ref="AH23:AI23"/>
    <mergeCell ref="AH29:AI29"/>
    <mergeCell ref="AH28:AI28"/>
    <mergeCell ref="AH27:AI27"/>
    <mergeCell ref="AH26:AI26"/>
    <mergeCell ref="AH25:AI25"/>
    <mergeCell ref="AH24:AI24"/>
    <mergeCell ref="AH22:AI22"/>
    <mergeCell ref="AJ29:AK29"/>
    <mergeCell ref="AJ28:AK28"/>
    <mergeCell ref="AJ27:AK27"/>
    <mergeCell ref="AJ26:AK26"/>
    <mergeCell ref="AJ25:AK25"/>
    <mergeCell ref="F23:G23"/>
    <mergeCell ref="L22:M22"/>
    <mergeCell ref="H22:I22"/>
    <mergeCell ref="F22:G22"/>
    <mergeCell ref="D29:E29"/>
    <mergeCell ref="D28:E28"/>
    <mergeCell ref="D27:E27"/>
    <mergeCell ref="D26:E26"/>
    <mergeCell ref="D25:E25"/>
    <mergeCell ref="D24:E24"/>
    <mergeCell ref="L29:M29"/>
    <mergeCell ref="J29:K29"/>
    <mergeCell ref="H29:I29"/>
    <mergeCell ref="F29:G29"/>
    <mergeCell ref="F28:G28"/>
    <mergeCell ref="F27:G27"/>
    <mergeCell ref="F26:G26"/>
    <mergeCell ref="F25:G25"/>
    <mergeCell ref="F24:G24"/>
    <mergeCell ref="H23:I23"/>
    <mergeCell ref="H24:I24"/>
    <mergeCell ref="H25:I25"/>
    <mergeCell ref="H26:I26"/>
    <mergeCell ref="L27:M27"/>
    <mergeCell ref="P28:Q28"/>
    <mergeCell ref="P27:Q27"/>
    <mergeCell ref="P25:Q25"/>
    <mergeCell ref="P26:Q26"/>
    <mergeCell ref="R27:S27"/>
    <mergeCell ref="R26:S26"/>
    <mergeCell ref="R25:S25"/>
    <mergeCell ref="J22:K22"/>
    <mergeCell ref="J24:K24"/>
    <mergeCell ref="J23:K23"/>
    <mergeCell ref="R24:S24"/>
    <mergeCell ref="P24:Q24"/>
    <mergeCell ref="P23:Q23"/>
    <mergeCell ref="R23:S23"/>
    <mergeCell ref="R22:S22"/>
    <mergeCell ref="P22:Q22"/>
    <mergeCell ref="L23:M23"/>
    <mergeCell ref="L24:M24"/>
    <mergeCell ref="N24:O24"/>
    <mergeCell ref="N23:O23"/>
    <mergeCell ref="N22:O22"/>
    <mergeCell ref="AF29:AG29"/>
    <mergeCell ref="AF28:AG28"/>
    <mergeCell ref="AF27:AG27"/>
    <mergeCell ref="AF26:AG26"/>
    <mergeCell ref="AF25:AG25"/>
    <mergeCell ref="B28:C28"/>
    <mergeCell ref="B29:C29"/>
    <mergeCell ref="N29:O29"/>
    <mergeCell ref="N28:O28"/>
    <mergeCell ref="N27:O27"/>
    <mergeCell ref="N26:O26"/>
    <mergeCell ref="N25:O25"/>
    <mergeCell ref="J27:K27"/>
    <mergeCell ref="H27:I27"/>
    <mergeCell ref="L28:M28"/>
    <mergeCell ref="J28:K28"/>
    <mergeCell ref="H28:I28"/>
    <mergeCell ref="L25:M25"/>
    <mergeCell ref="L26:M26"/>
    <mergeCell ref="J26:K26"/>
    <mergeCell ref="J25:K25"/>
    <mergeCell ref="R28:S28"/>
    <mergeCell ref="R29:S29"/>
    <mergeCell ref="P29:Q29"/>
    <mergeCell ref="B31:C31"/>
    <mergeCell ref="B22:C22"/>
    <mergeCell ref="B23:C23"/>
    <mergeCell ref="B24:C24"/>
    <mergeCell ref="B25:C25"/>
    <mergeCell ref="B26:C26"/>
    <mergeCell ref="B27:C27"/>
    <mergeCell ref="D7:E7"/>
    <mergeCell ref="D8:E8"/>
    <mergeCell ref="D15:E15"/>
    <mergeCell ref="D14:E14"/>
    <mergeCell ref="D13:E13"/>
    <mergeCell ref="D22:E22"/>
    <mergeCell ref="D23:E23"/>
    <mergeCell ref="D20:E20"/>
    <mergeCell ref="D19:E19"/>
    <mergeCell ref="D18:E18"/>
    <mergeCell ref="D17:E17"/>
    <mergeCell ref="D16:E16"/>
    <mergeCell ref="D1:E1"/>
    <mergeCell ref="D12:E12"/>
    <mergeCell ref="D11:E11"/>
    <mergeCell ref="D10:E10"/>
    <mergeCell ref="D9:E9"/>
    <mergeCell ref="D2:E2"/>
    <mergeCell ref="D3:E3"/>
    <mergeCell ref="D4:E4"/>
    <mergeCell ref="D5:E5"/>
    <mergeCell ref="D6:E6"/>
    <mergeCell ref="F4:G4"/>
    <mergeCell ref="F3:G3"/>
    <mergeCell ref="F2:G2"/>
    <mergeCell ref="F1:G1"/>
    <mergeCell ref="F10:G10"/>
    <mergeCell ref="F9:G9"/>
    <mergeCell ref="F8:G8"/>
    <mergeCell ref="F7:G7"/>
    <mergeCell ref="F6:G6"/>
    <mergeCell ref="H12:I12"/>
    <mergeCell ref="H10:I10"/>
    <mergeCell ref="H11:I11"/>
    <mergeCell ref="H20:I20"/>
    <mergeCell ref="H19:I19"/>
    <mergeCell ref="H18:I18"/>
    <mergeCell ref="H17:I17"/>
    <mergeCell ref="H16:I16"/>
    <mergeCell ref="F5:G5"/>
    <mergeCell ref="F15:G15"/>
    <mergeCell ref="F14:G14"/>
    <mergeCell ref="F13:G13"/>
    <mergeCell ref="F12:G12"/>
    <mergeCell ref="F11:G11"/>
    <mergeCell ref="F20:G20"/>
    <mergeCell ref="F19:G19"/>
    <mergeCell ref="F18:G18"/>
    <mergeCell ref="F17:G17"/>
    <mergeCell ref="F16:G16"/>
    <mergeCell ref="H4:I4"/>
    <mergeCell ref="H3:I3"/>
    <mergeCell ref="H2:I2"/>
    <mergeCell ref="H1:I1"/>
    <mergeCell ref="J20:K20"/>
    <mergeCell ref="J19:K19"/>
    <mergeCell ref="J18:K18"/>
    <mergeCell ref="J17:K17"/>
    <mergeCell ref="J16:K16"/>
    <mergeCell ref="J15:K15"/>
    <mergeCell ref="J14:K14"/>
    <mergeCell ref="J13:K13"/>
    <mergeCell ref="J12:K12"/>
    <mergeCell ref="J11:K11"/>
    <mergeCell ref="J10:K10"/>
    <mergeCell ref="J9:K9"/>
    <mergeCell ref="H9:I9"/>
    <mergeCell ref="H8:I8"/>
    <mergeCell ref="H7:I7"/>
    <mergeCell ref="H6:I6"/>
    <mergeCell ref="H5:I5"/>
    <mergeCell ref="H15:I15"/>
    <mergeCell ref="H14:I14"/>
    <mergeCell ref="H13:I13"/>
    <mergeCell ref="J3:K3"/>
    <mergeCell ref="J2:K2"/>
    <mergeCell ref="J1:K1"/>
    <mergeCell ref="N20:O20"/>
    <mergeCell ref="N19:O19"/>
    <mergeCell ref="N18:O18"/>
    <mergeCell ref="N17:O17"/>
    <mergeCell ref="N16:O16"/>
    <mergeCell ref="N15:O15"/>
    <mergeCell ref="N14:O14"/>
    <mergeCell ref="N13:O13"/>
    <mergeCell ref="N12:O12"/>
    <mergeCell ref="N11:O11"/>
    <mergeCell ref="N10:O10"/>
    <mergeCell ref="N9:O9"/>
    <mergeCell ref="N8:O8"/>
    <mergeCell ref="J8:K8"/>
    <mergeCell ref="J7:K7"/>
    <mergeCell ref="J5:K5"/>
    <mergeCell ref="J6:K6"/>
    <mergeCell ref="J4:K4"/>
    <mergeCell ref="L3:M3"/>
    <mergeCell ref="L2:M2"/>
    <mergeCell ref="N2:O2"/>
    <mergeCell ref="N1:O1"/>
    <mergeCell ref="L20:M20"/>
    <mergeCell ref="L19:M19"/>
    <mergeCell ref="L18:M18"/>
    <mergeCell ref="L17:M17"/>
    <mergeCell ref="L16:M16"/>
    <mergeCell ref="L15:M15"/>
    <mergeCell ref="L14:M14"/>
    <mergeCell ref="L13:M13"/>
    <mergeCell ref="L12:M12"/>
    <mergeCell ref="L11:M11"/>
    <mergeCell ref="L10:M10"/>
    <mergeCell ref="L9:M9"/>
    <mergeCell ref="L8:M8"/>
    <mergeCell ref="L7:M7"/>
    <mergeCell ref="N7:O7"/>
    <mergeCell ref="N6:O6"/>
    <mergeCell ref="N5:O5"/>
    <mergeCell ref="N4:O4"/>
    <mergeCell ref="N3:O3"/>
    <mergeCell ref="P5:Q5"/>
    <mergeCell ref="P4:Q4"/>
    <mergeCell ref="P3:Q3"/>
    <mergeCell ref="P2:Q2"/>
    <mergeCell ref="P1:Q1"/>
    <mergeCell ref="L1:M1"/>
    <mergeCell ref="P20:Q20"/>
    <mergeCell ref="P19:Q19"/>
    <mergeCell ref="P18:Q18"/>
    <mergeCell ref="P17:Q17"/>
    <mergeCell ref="P16:Q16"/>
    <mergeCell ref="P15:Q15"/>
    <mergeCell ref="P14:Q14"/>
    <mergeCell ref="P13:Q13"/>
    <mergeCell ref="P12:Q12"/>
    <mergeCell ref="P11:Q11"/>
    <mergeCell ref="P10:Q10"/>
    <mergeCell ref="P9:Q9"/>
    <mergeCell ref="P7:Q7"/>
    <mergeCell ref="P8:Q8"/>
    <mergeCell ref="P6:Q6"/>
    <mergeCell ref="L6:M6"/>
    <mergeCell ref="L5:M5"/>
    <mergeCell ref="L4:M4"/>
    <mergeCell ref="T15:U15"/>
    <mergeCell ref="T14:U14"/>
    <mergeCell ref="T13:U13"/>
    <mergeCell ref="T12:U12"/>
    <mergeCell ref="T11:U11"/>
    <mergeCell ref="T20:U20"/>
    <mergeCell ref="T19:U19"/>
    <mergeCell ref="T18:U18"/>
    <mergeCell ref="T17:U17"/>
    <mergeCell ref="T16:U16"/>
    <mergeCell ref="T5:U5"/>
    <mergeCell ref="T4:U4"/>
    <mergeCell ref="T3:U3"/>
    <mergeCell ref="T2:U2"/>
    <mergeCell ref="T1:U1"/>
    <mergeCell ref="T10:U10"/>
    <mergeCell ref="T9:U9"/>
    <mergeCell ref="T8:U8"/>
    <mergeCell ref="T7:U7"/>
    <mergeCell ref="T6:U6"/>
    <mergeCell ref="R15:S15"/>
    <mergeCell ref="R14:S14"/>
    <mergeCell ref="R13:S13"/>
    <mergeCell ref="R12:S12"/>
    <mergeCell ref="R11:S11"/>
    <mergeCell ref="R20:S20"/>
    <mergeCell ref="R19:S19"/>
    <mergeCell ref="R18:S18"/>
    <mergeCell ref="R17:S17"/>
    <mergeCell ref="R16:S16"/>
    <mergeCell ref="R5:S5"/>
    <mergeCell ref="R4:S4"/>
    <mergeCell ref="R3:S3"/>
    <mergeCell ref="R2:S2"/>
    <mergeCell ref="R1:S1"/>
    <mergeCell ref="R10:S10"/>
    <mergeCell ref="R9:S9"/>
    <mergeCell ref="R8:S8"/>
    <mergeCell ref="R7:S7"/>
    <mergeCell ref="R6:S6"/>
    <mergeCell ref="V15:W15"/>
    <mergeCell ref="V14:W14"/>
    <mergeCell ref="V13:W13"/>
    <mergeCell ref="V12:W12"/>
    <mergeCell ref="V11:W11"/>
    <mergeCell ref="V20:W20"/>
    <mergeCell ref="V19:W19"/>
    <mergeCell ref="V18:W18"/>
    <mergeCell ref="V17:W17"/>
    <mergeCell ref="V16:W16"/>
    <mergeCell ref="V5:W5"/>
    <mergeCell ref="V3:W3"/>
    <mergeCell ref="V4:W4"/>
    <mergeCell ref="V2:W2"/>
    <mergeCell ref="V1:W1"/>
    <mergeCell ref="V10:W10"/>
    <mergeCell ref="V9:W9"/>
    <mergeCell ref="V8:W8"/>
    <mergeCell ref="V7:W7"/>
    <mergeCell ref="V6:W6"/>
    <mergeCell ref="X11:Y11"/>
    <mergeCell ref="AB20:AC20"/>
    <mergeCell ref="AB19:AC19"/>
    <mergeCell ref="AB18:AC18"/>
    <mergeCell ref="AB17:AC17"/>
    <mergeCell ref="AB16:AC16"/>
    <mergeCell ref="AB15:AC15"/>
    <mergeCell ref="AB14:AC14"/>
    <mergeCell ref="AB13:AC13"/>
    <mergeCell ref="X20:Y20"/>
    <mergeCell ref="X19:Y19"/>
    <mergeCell ref="X18:Y18"/>
    <mergeCell ref="X17:Y17"/>
    <mergeCell ref="X16:Y16"/>
    <mergeCell ref="X15:Y15"/>
    <mergeCell ref="X14:Y14"/>
    <mergeCell ref="X13:Y13"/>
    <mergeCell ref="X12:Y12"/>
    <mergeCell ref="AB12:AC12"/>
    <mergeCell ref="AB11:AC11"/>
    <mergeCell ref="Z14:AA14"/>
    <mergeCell ref="Z15:AA15"/>
    <mergeCell ref="Z16:AA16"/>
    <mergeCell ref="Z17:AA17"/>
    <mergeCell ref="X10:Y10"/>
    <mergeCell ref="X9:Y9"/>
    <mergeCell ref="X8:Y8"/>
    <mergeCell ref="X6:Y6"/>
    <mergeCell ref="X7:Y7"/>
    <mergeCell ref="AB10:AC10"/>
    <mergeCell ref="AB9:AC9"/>
    <mergeCell ref="AB7:AC7"/>
    <mergeCell ref="AB8:AC8"/>
    <mergeCell ref="AB6:AC6"/>
    <mergeCell ref="AD5:AE5"/>
    <mergeCell ref="AD10:AE10"/>
    <mergeCell ref="AD9:AE9"/>
    <mergeCell ref="AF8:AG8"/>
    <mergeCell ref="AF11:AG11"/>
    <mergeCell ref="AF10:AG10"/>
    <mergeCell ref="AF9:AG9"/>
    <mergeCell ref="AD8:AE8"/>
    <mergeCell ref="AD14:AE14"/>
    <mergeCell ref="AD13:AE13"/>
    <mergeCell ref="AD12:AE12"/>
    <mergeCell ref="AD11:AE11"/>
    <mergeCell ref="AD6:AE6"/>
    <mergeCell ref="AH18:AI18"/>
    <mergeCell ref="AH17:AI17"/>
    <mergeCell ref="AH15:AI15"/>
    <mergeCell ref="AH16:AI16"/>
    <mergeCell ref="AH14:AI14"/>
    <mergeCell ref="AH13:AI13"/>
    <mergeCell ref="AH12:AI12"/>
    <mergeCell ref="AD7:AE7"/>
    <mergeCell ref="AF17:AG17"/>
    <mergeCell ref="AF16:AG16"/>
    <mergeCell ref="AF15:AG15"/>
    <mergeCell ref="AF14:AG14"/>
    <mergeCell ref="AF13:AG13"/>
    <mergeCell ref="AF12:AG12"/>
    <mergeCell ref="AF7:AG7"/>
    <mergeCell ref="AD20:AE20"/>
    <mergeCell ref="AD19:AE19"/>
    <mergeCell ref="AD18:AE18"/>
    <mergeCell ref="AF20:AG20"/>
    <mergeCell ref="AF19:AG19"/>
    <mergeCell ref="AF18:AG18"/>
    <mergeCell ref="AD17:AE17"/>
    <mergeCell ref="AD16:AE16"/>
    <mergeCell ref="AD15:AE15"/>
    <mergeCell ref="AP11:AQ11"/>
    <mergeCell ref="AN5:AO5"/>
    <mergeCell ref="AL5:AM5"/>
    <mergeCell ref="AJ5:AK5"/>
    <mergeCell ref="AN9:AO9"/>
    <mergeCell ref="AL9:AM9"/>
    <mergeCell ref="AJ9:AK9"/>
    <mergeCell ref="AH11:AI11"/>
    <mergeCell ref="AH10:AI10"/>
    <mergeCell ref="AH9:AI9"/>
    <mergeCell ref="AH8:AI8"/>
    <mergeCell ref="AN11:AO11"/>
    <mergeCell ref="AJ10:AK10"/>
    <mergeCell ref="AL10:AM10"/>
    <mergeCell ref="AN10:AO10"/>
    <mergeCell ref="AP10:AQ10"/>
    <mergeCell ref="AP9:AQ9"/>
    <mergeCell ref="AN6:AO6"/>
    <mergeCell ref="AH5:AI5"/>
    <mergeCell ref="AH7:AI7"/>
    <mergeCell ref="AP18:AQ18"/>
    <mergeCell ref="AP19:AQ19"/>
    <mergeCell ref="AP20:AQ20"/>
    <mergeCell ref="AP12:AQ12"/>
    <mergeCell ref="AP13:AQ13"/>
    <mergeCell ref="AP14:AQ14"/>
    <mergeCell ref="AP15:AQ15"/>
    <mergeCell ref="AN15:AO15"/>
    <mergeCell ref="AN14:AO14"/>
    <mergeCell ref="AN13:AO13"/>
    <mergeCell ref="AN12:AO12"/>
    <mergeCell ref="AN20:AO20"/>
    <mergeCell ref="AN19:AO19"/>
    <mergeCell ref="AN18:AO18"/>
    <mergeCell ref="AN17:AO17"/>
    <mergeCell ref="AN16:AO16"/>
    <mergeCell ref="AP16:AQ16"/>
    <mergeCell ref="AP17:AQ17"/>
    <mergeCell ref="AL17:AM17"/>
    <mergeCell ref="AL18:AM18"/>
    <mergeCell ref="AL19:AM19"/>
    <mergeCell ref="AL20:AM20"/>
    <mergeCell ref="AJ15:AK15"/>
    <mergeCell ref="AJ14:AK14"/>
    <mergeCell ref="AJ13:AK13"/>
    <mergeCell ref="AJ12:AK12"/>
    <mergeCell ref="AJ11:AK11"/>
    <mergeCell ref="AL11:AM11"/>
    <mergeCell ref="AL12:AM12"/>
    <mergeCell ref="AL13:AM13"/>
    <mergeCell ref="AL14:AM14"/>
    <mergeCell ref="AL15:AM15"/>
    <mergeCell ref="AH20:AI20"/>
    <mergeCell ref="AH19:AI19"/>
    <mergeCell ref="AP6:AQ6"/>
    <mergeCell ref="AP5:AQ5"/>
    <mergeCell ref="AP4:AQ4"/>
    <mergeCell ref="AP3:AQ3"/>
    <mergeCell ref="AN3:AO3"/>
    <mergeCell ref="AL3:AM3"/>
    <mergeCell ref="AJ3:AK3"/>
    <mergeCell ref="AJ8:AK8"/>
    <mergeCell ref="AL8:AM8"/>
    <mergeCell ref="AN8:AO8"/>
    <mergeCell ref="AP8:AQ8"/>
    <mergeCell ref="AP7:AQ7"/>
    <mergeCell ref="AN7:AO7"/>
    <mergeCell ref="AL7:AM7"/>
    <mergeCell ref="AJ7:AK7"/>
    <mergeCell ref="AN4:AO4"/>
    <mergeCell ref="AJ20:AK20"/>
    <mergeCell ref="AJ19:AK19"/>
    <mergeCell ref="AJ18:AK18"/>
    <mergeCell ref="AJ17:AK17"/>
    <mergeCell ref="AJ16:AK16"/>
    <mergeCell ref="AL16:AM16"/>
    <mergeCell ref="X1:Y1"/>
    <mergeCell ref="AJ4:AK4"/>
    <mergeCell ref="AL4:AM4"/>
    <mergeCell ref="AH2:AI2"/>
    <mergeCell ref="AH1:AI1"/>
    <mergeCell ref="AJ1:AK1"/>
    <mergeCell ref="AH6:AI6"/>
    <mergeCell ref="AJ6:AK6"/>
    <mergeCell ref="AL6:AM6"/>
    <mergeCell ref="AF6:AG6"/>
    <mergeCell ref="AF5:AG5"/>
    <mergeCell ref="AD1:AE1"/>
    <mergeCell ref="AF1:AG1"/>
    <mergeCell ref="AD2:AE2"/>
    <mergeCell ref="AF2:AG2"/>
    <mergeCell ref="X5:Y5"/>
    <mergeCell ref="X4:Y4"/>
    <mergeCell ref="X3:Y3"/>
    <mergeCell ref="X2:Y2"/>
    <mergeCell ref="AB2:AC2"/>
    <mergeCell ref="AB5:AC5"/>
    <mergeCell ref="AD4:AE4"/>
    <mergeCell ref="AL1:AM1"/>
    <mergeCell ref="AL2:AM2"/>
    <mergeCell ref="AD3:AE3"/>
    <mergeCell ref="Z2:AA2"/>
    <mergeCell ref="Z3:AA3"/>
    <mergeCell ref="Z4:AA4"/>
    <mergeCell ref="AH4:AI4"/>
    <mergeCell ref="AF3:AG3"/>
    <mergeCell ref="AB3:AC3"/>
    <mergeCell ref="AR1:AS1"/>
    <mergeCell ref="AT1:AU1"/>
    <mergeCell ref="AF4:AG4"/>
    <mergeCell ref="AB4:AC4"/>
    <mergeCell ref="AP1:AQ1"/>
    <mergeCell ref="AN1:AO1"/>
    <mergeCell ref="AP2:AQ2"/>
    <mergeCell ref="AN2:AO2"/>
    <mergeCell ref="AJ2:AK2"/>
    <mergeCell ref="Z1:AA1"/>
    <mergeCell ref="AB1:AC1"/>
    <mergeCell ref="AH3:AI3"/>
    <mergeCell ref="AV1:AW1"/>
    <mergeCell ref="AR2:AS2"/>
    <mergeCell ref="AT2:AU2"/>
    <mergeCell ref="AV2:AW2"/>
    <mergeCell ref="AR3:AS3"/>
    <mergeCell ref="AT3:AU3"/>
    <mergeCell ref="AV3:AW3"/>
    <mergeCell ref="AR4:AS4"/>
    <mergeCell ref="AT4:AU4"/>
    <mergeCell ref="AV4:AW4"/>
    <mergeCell ref="AR5:AS5"/>
    <mergeCell ref="AT5:AU5"/>
    <mergeCell ref="AV5:AW5"/>
    <mergeCell ref="AR6:AS6"/>
    <mergeCell ref="AT6:AU6"/>
    <mergeCell ref="AV6:AW6"/>
    <mergeCell ref="AR7:AS7"/>
    <mergeCell ref="AT7:AU7"/>
    <mergeCell ref="AV7:AW7"/>
    <mergeCell ref="AR8:AS8"/>
    <mergeCell ref="AT8:AU8"/>
    <mergeCell ref="AV8:AW8"/>
    <mergeCell ref="AR9:AS9"/>
    <mergeCell ref="AT9:AU9"/>
    <mergeCell ref="AV9:AW9"/>
    <mergeCell ref="AR10:AS10"/>
    <mergeCell ref="AT10:AU10"/>
    <mergeCell ref="AV10:AW10"/>
    <mergeCell ref="AR11:AS11"/>
    <mergeCell ref="AT11:AU11"/>
    <mergeCell ref="AV11:AW11"/>
    <mergeCell ref="AR12:AS12"/>
    <mergeCell ref="AT12:AU12"/>
    <mergeCell ref="AV12:AW12"/>
    <mergeCell ref="AR13:AS13"/>
    <mergeCell ref="AT13:AU13"/>
    <mergeCell ref="AV13:AW13"/>
    <mergeCell ref="AR14:AS14"/>
    <mergeCell ref="AT14:AU14"/>
    <mergeCell ref="AV14:AW14"/>
    <mergeCell ref="AR15:AS15"/>
    <mergeCell ref="AT15:AU15"/>
    <mergeCell ref="AV15:AW15"/>
    <mergeCell ref="AR19:AS19"/>
    <mergeCell ref="AT19:AU19"/>
    <mergeCell ref="AV19:AW19"/>
    <mergeCell ref="AR20:AS20"/>
    <mergeCell ref="AT20:AU20"/>
    <mergeCell ref="AV20:AW20"/>
    <mergeCell ref="AR16:AS16"/>
    <mergeCell ref="AT16:AU16"/>
    <mergeCell ref="AV16:AW16"/>
    <mergeCell ref="AR17:AS17"/>
    <mergeCell ref="AT17:AU17"/>
    <mergeCell ref="AV17:AW17"/>
    <mergeCell ref="AR18:AS18"/>
    <mergeCell ref="AT18:AU18"/>
    <mergeCell ref="AV18:AW18"/>
    <mergeCell ref="Z18:AA18"/>
    <mergeCell ref="Z19:AA19"/>
    <mergeCell ref="Z20:AA20"/>
    <mergeCell ref="Z5:AA5"/>
    <mergeCell ref="Z6:AA6"/>
    <mergeCell ref="Z7:AA7"/>
    <mergeCell ref="Z8:AA8"/>
    <mergeCell ref="Z9:AA9"/>
    <mergeCell ref="Z10:AA10"/>
    <mergeCell ref="Z11:AA11"/>
    <mergeCell ref="Z12:AA12"/>
    <mergeCell ref="Z13:AA13"/>
  </mergeCells>
  <conditionalFormatting sqref="A2:A18">
    <cfRule type="cellIs" dxfId="53" priority="85" operator="equal">
      <formula>"Si cumplio"</formula>
    </cfRule>
    <cfRule type="cellIs" dxfId="52" priority="84" operator="equal">
      <formula>"Informacion incompleta"</formula>
    </cfRule>
    <cfRule type="cellIs" dxfId="51" priority="83" operator="equal">
      <formula>"No cumplio"</formula>
    </cfRule>
  </conditionalFormatting>
  <conditionalFormatting sqref="A33:A49">
    <cfRule type="cellIs" dxfId="50" priority="82" operator="equal">
      <formula>"Si cumplio"</formula>
    </cfRule>
    <cfRule type="cellIs" dxfId="49" priority="81" operator="equal">
      <formula>"Informacion incompleta"</formula>
    </cfRule>
    <cfRule type="cellIs" dxfId="48" priority="80" operator="equal">
      <formula>"No cumplio"</formula>
    </cfRule>
  </conditionalFormatting>
  <conditionalFormatting sqref="C2:C18">
    <cfRule type="cellIs" dxfId="47" priority="235" operator="equal">
      <formula>"Informacion incompleta"</formula>
    </cfRule>
    <cfRule type="cellIs" dxfId="46" priority="234" operator="equal">
      <formula>"No cumplio"</formula>
    </cfRule>
    <cfRule type="cellIs" dxfId="45" priority="236" operator="equal">
      <formula>"Si cumplio"</formula>
    </cfRule>
  </conditionalFormatting>
  <conditionalFormatting sqref="C33:C49">
    <cfRule type="cellIs" dxfId="44" priority="87" operator="equal">
      <formula>"Informacion incompleta"</formula>
    </cfRule>
    <cfRule type="cellIs" dxfId="43" priority="88" operator="equal">
      <formula>"Si cumplio"</formula>
    </cfRule>
    <cfRule type="cellIs" dxfId="42" priority="86" operator="equal">
      <formula>"No cumplio"</formula>
    </cfRule>
  </conditionalFormatting>
  <conditionalFormatting sqref="D2:D20 F2:F20 H2:H20 J2:J20 L2:L20 N2:N20 P2:P20 R2:R20 T2:T20 V2:V20 X2:X20 Z2:Z20">
    <cfRule type="containsBlanks" priority="1">
      <formula>LEN(TRIM(D2))=0</formula>
    </cfRule>
    <cfRule type="containsText" dxfId="41" priority="2" operator="containsText" text="Sin Conteo">
      <formula>NOT(ISERROR(SEARCH("Sin Conteo",D2)))</formula>
    </cfRule>
    <cfRule type="cellIs" dxfId="40" priority="3" operator="notEqual">
      <formula>"Si cumplio"</formula>
    </cfRule>
    <cfRule type="cellIs" dxfId="39" priority="4" operator="equal">
      <formula>"Si cumplio"</formula>
    </cfRule>
  </conditionalFormatting>
  <conditionalFormatting sqref="AB2:AB20 AD2:AD20 AF2:AF20">
    <cfRule type="containsText" dxfId="38" priority="70" operator="containsText" text="Sin Conteo">
      <formula>NOT(ISERROR(SEARCH("Sin Conteo",AB2)))</formula>
    </cfRule>
    <cfRule type="containsBlanks" priority="69">
      <formula>LEN(TRIM(AB2))=0</formula>
    </cfRule>
    <cfRule type="cellIs" dxfId="37" priority="72" operator="equal">
      <formula>"Si cumplio"</formula>
    </cfRule>
    <cfRule type="cellIs" dxfId="36" priority="71" operator="notEqual">
      <formula>"Si cumplio"</formula>
    </cfRule>
  </conditionalFormatting>
  <conditionalFormatting sqref="AH2:AH4">
    <cfRule type="containsBlanks" priority="53">
      <formula>LEN(TRIM(AH2))=0</formula>
    </cfRule>
  </conditionalFormatting>
  <conditionalFormatting sqref="AH2:AH20">
    <cfRule type="cellIs" dxfId="35" priority="44" operator="equal">
      <formula>"Si cumplio"</formula>
    </cfRule>
    <cfRule type="cellIs" dxfId="34" priority="43" operator="notEqual">
      <formula>"Si cumplio"</formula>
    </cfRule>
    <cfRule type="containsText" dxfId="33" priority="42" operator="containsText" text="Sin Conteo">
      <formula>NOT(ISERROR(SEARCH("Sin Conteo",AH2)))</formula>
    </cfRule>
  </conditionalFormatting>
  <conditionalFormatting sqref="AH6">
    <cfRule type="containsBlanks" priority="49">
      <formula>LEN(TRIM(AH6))=0</formula>
    </cfRule>
  </conditionalFormatting>
  <conditionalFormatting sqref="AH8:AH20">
    <cfRule type="containsBlanks" priority="41">
      <formula>LEN(TRIM(AH8))=0</formula>
    </cfRule>
  </conditionalFormatting>
  <conditionalFormatting sqref="AJ2:AJ11">
    <cfRule type="containsBlanks" priority="33">
      <formula>LEN(TRIM(AJ2))=0</formula>
    </cfRule>
  </conditionalFormatting>
  <conditionalFormatting sqref="AJ2:AJ20">
    <cfRule type="cellIs" dxfId="32" priority="24" operator="equal">
      <formula>"Si cumplio"</formula>
    </cfRule>
    <cfRule type="cellIs" dxfId="31" priority="23" operator="notEqual">
      <formula>"Si cumplio"</formula>
    </cfRule>
    <cfRule type="containsText" dxfId="30" priority="22" operator="containsText" text="Sin Conteo">
      <formula>NOT(ISERROR(SEARCH("Sin Conteo",AJ2)))</formula>
    </cfRule>
  </conditionalFormatting>
  <conditionalFormatting sqref="AJ13:AJ18">
    <cfRule type="containsBlanks" priority="25">
      <formula>LEN(TRIM(AJ13))=0</formula>
    </cfRule>
  </conditionalFormatting>
  <conditionalFormatting sqref="AJ20">
    <cfRule type="containsBlanks" priority="21">
      <formula>LEN(TRIM(AJ20))=0</formula>
    </cfRule>
  </conditionalFormatting>
  <conditionalFormatting sqref="AL2:AL20 AN2:AN20">
    <cfRule type="containsText" dxfId="29" priority="5" operator="containsText" text="Sin Conteo">
      <formula>NOT(ISERROR(SEARCH("Sin Conteo",AL2)))</formula>
    </cfRule>
    <cfRule type="cellIs" dxfId="28" priority="7" operator="equal">
      <formula>"Si cumplio"</formula>
    </cfRule>
    <cfRule type="cellIs" dxfId="27" priority="6" operator="notEqual">
      <formula>"Si cumplio"</formula>
    </cfRule>
    <cfRule type="containsBlanks" priority="8">
      <formula>LEN(TRIM(AL2))=0</formula>
    </cfRule>
  </conditionalFormatting>
  <conditionalFormatting sqref="AP2:AP20">
    <cfRule type="containsText" dxfId="26" priority="89" operator="containsText" text="Sin Conteo">
      <formula>NOT(ISERROR(SEARCH("Sin Conteo",AP2)))</formula>
    </cfRule>
    <cfRule type="cellIs" dxfId="25" priority="166" operator="notEqual">
      <formula>"Si cumplio"</formula>
    </cfRule>
    <cfRule type="cellIs" dxfId="24" priority="167" operator="equal">
      <formula>"Si cumplio"</formula>
    </cfRule>
  </conditionalFormatting>
  <conditionalFormatting sqref="AR2:AR20 AT2:AT20 AV2:AV20">
    <cfRule type="cellIs" dxfId="23" priority="11" operator="equal">
      <formula>"Si cumplio"</formula>
    </cfRule>
    <cfRule type="cellIs" dxfId="22" priority="10" operator="notEqual">
      <formula>"Si cumplio"</formula>
    </cfRule>
    <cfRule type="containsText" dxfId="21" priority="9" operator="containsText" text="Sin Conteo">
      <formula>NOT(ISERROR(SEARCH("Sin Conteo",AR2)))</formula>
    </cfRule>
  </conditionalFormatting>
  <conditionalFormatting sqref="AX2:AZ20">
    <cfRule type="cellIs" dxfId="20" priority="118" operator="equal">
      <formula>"No cumplio"</formula>
    </cfRule>
    <cfRule type="cellIs" dxfId="19" priority="119" operator="equal">
      <formula>"Informacion incompleta"</formula>
    </cfRule>
    <cfRule type="cellIs" dxfId="18" priority="120" operator="equal">
      <formula>"Si cumplio"</formula>
    </cfRule>
  </conditionalFormatting>
  <dataValidations count="1">
    <dataValidation type="list" allowBlank="1" showInputMessage="1" showErrorMessage="1" sqref="AJ20 AF2:AF20 AD2:AD20 AB2:AB20 AH2:AH4 AH6 AH8:AH20 AJ2:AJ11 AJ13:AJ18 AN2:AN20 AL2:AL20 D2:D20 F2:F20 H2:H20 J2:J20 L2:L20 N2:N20 P2:P20 R2:R20 T2:T20 V2:V20 X2:X20 Z2:Z20" xr:uid="{A9209760-15D3-48CF-9CF7-0C0067DD3F62}">
      <formula1>"No cumplio, Si cumplio, Sin Conteo"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C472-5E29-4B8C-AAA9-C1C188A7053F}">
  <sheetPr codeName="Sheet2"/>
  <dimension ref="A1:AC67"/>
  <sheetViews>
    <sheetView topLeftCell="A20" zoomScale="90" zoomScaleNormal="90" workbookViewId="0">
      <selection activeCell="T13" sqref="T13"/>
    </sheetView>
  </sheetViews>
  <sheetFormatPr defaultRowHeight="15" x14ac:dyDescent="0.25"/>
  <cols>
    <col min="1" max="1" width="2.140625" customWidth="1"/>
    <col min="3" max="3" width="10.28515625" customWidth="1"/>
    <col min="5" max="5" width="11" customWidth="1"/>
    <col min="6" max="6" width="2.140625" customWidth="1"/>
    <col min="8" max="8" width="10.28515625" customWidth="1"/>
    <col min="9" max="9" width="10.5703125" customWidth="1"/>
    <col min="10" max="10" width="10.140625" customWidth="1"/>
    <col min="11" max="11" width="2.140625" customWidth="1"/>
    <col min="12" max="12" width="10.5703125" customWidth="1"/>
    <col min="13" max="13" width="12.5703125" customWidth="1"/>
    <col min="16" max="16" width="3.42578125" customWidth="1"/>
    <col min="17" max="17" width="2.140625" customWidth="1"/>
    <col min="20" max="20" width="9.5703125" bestFit="1" customWidth="1"/>
    <col min="21" max="21" width="11.140625" bestFit="1" customWidth="1"/>
  </cols>
  <sheetData>
    <row r="1" spans="1:29" ht="15" customHeight="1" x14ac:dyDescent="0.45">
      <c r="A1" s="104" t="s">
        <v>40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 spans="1:29" ht="15" customHeight="1" x14ac:dyDescent="0.45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29" ht="15" customHeight="1" x14ac:dyDescent="0.25">
      <c r="A4" s="55"/>
      <c r="B4" s="123" t="s">
        <v>41</v>
      </c>
      <c r="C4" s="123"/>
      <c r="D4" s="123"/>
      <c r="E4" s="123"/>
      <c r="F4" s="130"/>
      <c r="G4" s="81" t="s">
        <v>42</v>
      </c>
      <c r="H4" s="81"/>
      <c r="I4" s="81"/>
      <c r="J4" s="81"/>
      <c r="K4" s="130"/>
      <c r="L4" s="106" t="s">
        <v>43</v>
      </c>
      <c r="M4" s="107"/>
      <c r="N4" s="107"/>
      <c r="O4" s="107"/>
      <c r="P4" s="108"/>
      <c r="Q4" s="55"/>
    </row>
    <row r="5" spans="1:29" x14ac:dyDescent="0.25">
      <c r="A5" s="55"/>
      <c r="B5" s="123"/>
      <c r="C5" s="123"/>
      <c r="D5" s="123"/>
      <c r="E5" s="123"/>
      <c r="F5" s="130"/>
      <c r="G5" s="81"/>
      <c r="H5" s="81"/>
      <c r="I5" s="81"/>
      <c r="J5" s="81"/>
      <c r="K5" s="130"/>
      <c r="L5" s="109" t="s">
        <v>44</v>
      </c>
      <c r="M5" s="110"/>
      <c r="N5" s="110"/>
      <c r="O5" s="110" t="str">
        <f>_xlfn.XLOOKUP(MAX(Data!AY2:AY20), Data!AY2:AY20, Data!C2:C20)</f>
        <v>DP</v>
      </c>
      <c r="P5" s="111"/>
      <c r="Q5" s="55"/>
    </row>
    <row r="6" spans="1:29" x14ac:dyDescent="0.25">
      <c r="A6" s="55"/>
      <c r="B6" s="124">
        <f>IFERROR(SUM(Data!AY2:AY20)/SUM(Data!AX2:AY20), 0)</f>
        <v>0.5714285714285714</v>
      </c>
      <c r="C6" s="124"/>
      <c r="D6" s="124"/>
      <c r="E6" s="124"/>
      <c r="F6" s="130"/>
      <c r="G6" s="125">
        <f>IFERROR(SUM(Data!AX2:AX20)/SUM(Data!AX2:AY20), 0)</f>
        <v>0.42857142857142855</v>
      </c>
      <c r="H6" s="125"/>
      <c r="I6" s="125"/>
      <c r="J6" s="125"/>
      <c r="K6" s="130"/>
      <c r="L6" s="109"/>
      <c r="M6" s="110"/>
      <c r="N6" s="110"/>
      <c r="O6" s="110"/>
      <c r="P6" s="111"/>
      <c r="Q6" s="55"/>
    </row>
    <row r="7" spans="1:29" x14ac:dyDescent="0.25">
      <c r="A7" s="55"/>
      <c r="B7" s="124"/>
      <c r="C7" s="124"/>
      <c r="D7" s="124"/>
      <c r="E7" s="124"/>
      <c r="F7" s="130"/>
      <c r="G7" s="125"/>
      <c r="H7" s="125"/>
      <c r="I7" s="125"/>
      <c r="J7" s="125"/>
      <c r="K7" s="130"/>
      <c r="L7" s="109" t="s">
        <v>45</v>
      </c>
      <c r="M7" s="110"/>
      <c r="N7" s="110"/>
      <c r="O7" s="110" t="str">
        <f>_xlfn.XLOOKUP(MAX(Data!AX2:AX20), Data!AX2:AX20, Data!C2:C20)</f>
        <v>BLW</v>
      </c>
      <c r="P7" s="111"/>
      <c r="Q7" s="55"/>
    </row>
    <row r="8" spans="1:29" x14ac:dyDescent="0.25">
      <c r="A8" s="55"/>
      <c r="B8" s="124"/>
      <c r="C8" s="124"/>
      <c r="D8" s="124"/>
      <c r="E8" s="124"/>
      <c r="F8" s="130"/>
      <c r="G8" s="125"/>
      <c r="H8" s="125"/>
      <c r="I8" s="125"/>
      <c r="J8" s="125"/>
      <c r="K8" s="130"/>
      <c r="L8" s="129"/>
      <c r="M8" s="118"/>
      <c r="N8" s="118"/>
      <c r="O8" s="118"/>
      <c r="P8" s="119"/>
      <c r="Q8" s="55"/>
    </row>
    <row r="9" spans="1:29" x14ac:dyDescent="0.25">
      <c r="A9" s="55"/>
      <c r="B9" s="20"/>
      <c r="C9" s="24"/>
      <c r="D9" s="20"/>
      <c r="E9" s="24"/>
      <c r="F9" s="24"/>
      <c r="G9" s="24"/>
      <c r="H9" s="20"/>
      <c r="I9" s="24"/>
      <c r="J9" s="20"/>
      <c r="K9" s="24"/>
      <c r="L9" s="20"/>
      <c r="M9" s="24"/>
      <c r="N9" s="20"/>
      <c r="O9" s="24"/>
      <c r="P9" s="24"/>
      <c r="Q9" s="55"/>
    </row>
    <row r="10" spans="1:29" x14ac:dyDescent="0.25">
      <c r="A10" s="55"/>
      <c r="B10" s="126" t="s">
        <v>46</v>
      </c>
      <c r="C10" s="126"/>
      <c r="D10" s="126"/>
      <c r="E10" s="127" t="s">
        <v>65</v>
      </c>
      <c r="F10" s="24"/>
      <c r="G10" s="94" t="s">
        <v>47</v>
      </c>
      <c r="H10" s="94"/>
      <c r="I10" s="68">
        <f>VLOOKUP(E10,Sheet2!A2:E8,4,0)</f>
        <v>46023</v>
      </c>
      <c r="J10" s="68"/>
      <c r="K10" s="131" t="s">
        <v>48</v>
      </c>
      <c r="L10" s="68">
        <f>VLOOKUP(E10,Sheet2!A2:E8,5,0)</f>
        <v>46052</v>
      </c>
      <c r="M10" s="68"/>
      <c r="N10" s="20"/>
      <c r="O10" s="24"/>
      <c r="P10" s="24"/>
      <c r="Q10" s="55"/>
    </row>
    <row r="11" spans="1:29" ht="15.75" customHeight="1" thickBot="1" x14ac:dyDescent="0.3">
      <c r="A11" s="55"/>
      <c r="B11" s="126"/>
      <c r="C11" s="126"/>
      <c r="D11" s="126"/>
      <c r="E11" s="128"/>
      <c r="F11" s="20"/>
      <c r="G11" s="94"/>
      <c r="H11" s="94"/>
      <c r="I11" s="69"/>
      <c r="J11" s="69"/>
      <c r="K11" s="132"/>
      <c r="L11" s="69"/>
      <c r="M11" s="69"/>
      <c r="N11" s="20"/>
      <c r="O11" s="20"/>
      <c r="P11" s="20"/>
      <c r="Q11" s="55"/>
      <c r="T11" s="1"/>
      <c r="U11" s="1"/>
    </row>
    <row r="12" spans="1:29" ht="16.5" customHeight="1" thickTop="1" x14ac:dyDescent="0.25">
      <c r="A12" s="55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4"/>
      <c r="P12" s="20"/>
      <c r="Q12" s="55"/>
    </row>
    <row r="13" spans="1:29" ht="28.5" customHeight="1" x14ac:dyDescent="0.25">
      <c r="A13" s="55"/>
      <c r="B13" s="75" t="s">
        <v>49</v>
      </c>
      <c r="C13" s="75"/>
      <c r="D13" s="75"/>
      <c r="E13" s="75"/>
      <c r="F13" s="97"/>
      <c r="G13" s="74" t="s">
        <v>50</v>
      </c>
      <c r="H13" s="75"/>
      <c r="I13" s="75"/>
      <c r="J13" s="75"/>
      <c r="K13" s="97"/>
      <c r="L13" s="74" t="s">
        <v>51</v>
      </c>
      <c r="M13" s="75"/>
      <c r="N13" s="75"/>
      <c r="O13" s="75"/>
      <c r="P13" s="75"/>
      <c r="Q13" s="55"/>
    </row>
    <row r="14" spans="1:29" ht="28.5" customHeight="1" x14ac:dyDescent="0.25">
      <c r="A14" s="55"/>
      <c r="B14" s="77"/>
      <c r="C14" s="77"/>
      <c r="D14" s="77"/>
      <c r="E14" s="77"/>
      <c r="F14" s="98"/>
      <c r="G14" s="76"/>
      <c r="H14" s="77"/>
      <c r="I14" s="77"/>
      <c r="J14" s="77"/>
      <c r="K14" s="98"/>
      <c r="L14" s="76"/>
      <c r="M14" s="77"/>
      <c r="N14" s="77"/>
      <c r="O14" s="77"/>
      <c r="P14" s="77"/>
      <c r="Q14" s="55"/>
    </row>
    <row r="15" spans="1:29" ht="28.5" customHeight="1" x14ac:dyDescent="0.25">
      <c r="A15" s="55"/>
      <c r="B15" s="133" t="s">
        <v>52</v>
      </c>
      <c r="C15" s="134"/>
      <c r="D15" s="135">
        <f>'APU1'!D18</f>
        <v>8</v>
      </c>
      <c r="E15" s="136"/>
      <c r="F15" s="137"/>
      <c r="G15" s="148" t="s">
        <v>52</v>
      </c>
      <c r="H15" s="149"/>
      <c r="I15" s="121">
        <f>'APU2'!$D$18</f>
        <v>13</v>
      </c>
      <c r="J15" s="121"/>
      <c r="K15" s="122"/>
      <c r="L15" s="73" t="s">
        <v>52</v>
      </c>
      <c r="M15" s="149"/>
      <c r="N15" s="120">
        <f>'APU3'!$D$19</f>
        <v>7</v>
      </c>
      <c r="O15" s="121"/>
      <c r="P15" s="121"/>
      <c r="Q15" s="55"/>
      <c r="AB15" s="38"/>
    </row>
    <row r="16" spans="1:29" ht="28.5" customHeight="1" x14ac:dyDescent="0.25">
      <c r="A16" s="55"/>
      <c r="B16" s="133"/>
      <c r="C16" s="134"/>
      <c r="D16" s="135"/>
      <c r="E16" s="136"/>
      <c r="F16" s="137"/>
      <c r="G16" s="140"/>
      <c r="H16" s="143"/>
      <c r="I16" s="121"/>
      <c r="J16" s="121"/>
      <c r="K16" s="122"/>
      <c r="L16" s="142"/>
      <c r="M16" s="143"/>
      <c r="N16" s="120"/>
      <c r="O16" s="121"/>
      <c r="P16" s="121"/>
      <c r="Q16" s="55"/>
      <c r="Y16" s="34"/>
      <c r="AA16" s="34"/>
    </row>
    <row r="17" spans="1:18" ht="28.5" customHeight="1" x14ac:dyDescent="0.25">
      <c r="A17" s="55"/>
      <c r="B17" s="133" t="s">
        <v>53</v>
      </c>
      <c r="C17" s="134"/>
      <c r="D17" s="78">
        <f>'APU1'!C18</f>
        <v>8</v>
      </c>
      <c r="E17" s="79"/>
      <c r="F17" s="80"/>
      <c r="G17" s="140" t="s">
        <v>53</v>
      </c>
      <c r="H17" s="141"/>
      <c r="I17" s="144">
        <f>'APU2'!$C$18</f>
        <v>4</v>
      </c>
      <c r="J17" s="144"/>
      <c r="K17" s="145"/>
      <c r="L17" s="142" t="s">
        <v>53</v>
      </c>
      <c r="M17" s="143"/>
      <c r="N17" s="138">
        <f>'APU3'!$C$19</f>
        <v>9</v>
      </c>
      <c r="O17" s="139"/>
      <c r="P17" s="139"/>
      <c r="Q17" s="55"/>
    </row>
    <row r="18" spans="1:18" ht="28.5" customHeight="1" x14ac:dyDescent="0.25">
      <c r="A18" s="55"/>
      <c r="B18" s="133"/>
      <c r="C18" s="134"/>
      <c r="D18" s="78"/>
      <c r="E18" s="79"/>
      <c r="F18" s="80"/>
      <c r="G18" s="140"/>
      <c r="H18" s="141"/>
      <c r="I18" s="146"/>
      <c r="J18" s="146"/>
      <c r="K18" s="147"/>
      <c r="L18" s="142"/>
      <c r="M18" s="143"/>
      <c r="N18" s="138"/>
      <c r="O18" s="139"/>
      <c r="P18" s="139"/>
      <c r="Q18" s="55"/>
    </row>
    <row r="19" spans="1:18" ht="28.5" customHeight="1" x14ac:dyDescent="0.25">
      <c r="A19" s="55"/>
      <c r="B19" s="133" t="s">
        <v>54</v>
      </c>
      <c r="C19" s="134"/>
      <c r="D19" s="101">
        <f>D15+D17</f>
        <v>16</v>
      </c>
      <c r="E19" s="102"/>
      <c r="F19" s="103"/>
      <c r="G19" s="95" t="s">
        <v>54</v>
      </c>
      <c r="H19" s="71"/>
      <c r="I19" s="112">
        <f>I15+I17</f>
        <v>17</v>
      </c>
      <c r="J19" s="113"/>
      <c r="K19" s="114"/>
      <c r="L19" s="70" t="s">
        <v>54</v>
      </c>
      <c r="M19" s="71"/>
      <c r="N19" s="112">
        <f>N15+N17</f>
        <v>16</v>
      </c>
      <c r="O19" s="113"/>
      <c r="P19" s="113"/>
      <c r="Q19" s="55"/>
    </row>
    <row r="20" spans="1:18" ht="28.5" customHeight="1" x14ac:dyDescent="0.25">
      <c r="A20" s="55"/>
      <c r="B20" s="133"/>
      <c r="C20" s="134"/>
      <c r="D20" s="101"/>
      <c r="E20" s="102"/>
      <c r="F20" s="103"/>
      <c r="G20" s="96"/>
      <c r="H20" s="73"/>
      <c r="I20" s="115"/>
      <c r="J20" s="116"/>
      <c r="K20" s="117"/>
      <c r="L20" s="72"/>
      <c r="M20" s="73"/>
      <c r="N20" s="115"/>
      <c r="O20" s="116"/>
      <c r="P20" s="116"/>
      <c r="Q20" s="55"/>
    </row>
    <row r="21" spans="1:18" x14ac:dyDescent="0.25">
      <c r="A21" s="55"/>
      <c r="B21" s="99"/>
      <c r="C21" s="99"/>
      <c r="D21" s="99"/>
      <c r="E21" s="99"/>
      <c r="F21" s="100"/>
      <c r="G21" s="91"/>
      <c r="H21" s="92"/>
      <c r="I21" s="92"/>
      <c r="J21" s="92"/>
      <c r="K21" s="93"/>
      <c r="L21" s="62"/>
      <c r="M21" s="62"/>
      <c r="N21" s="62"/>
      <c r="O21" s="62"/>
      <c r="P21" s="62"/>
      <c r="Q21" s="55"/>
    </row>
    <row r="22" spans="1:18" x14ac:dyDescent="0.25">
      <c r="A22" s="55"/>
      <c r="B22" s="99"/>
      <c r="C22" s="99"/>
      <c r="D22" s="99"/>
      <c r="E22" s="99"/>
      <c r="F22" s="100"/>
      <c r="G22" s="91"/>
      <c r="H22" s="92"/>
      <c r="I22" s="92"/>
      <c r="J22" s="92"/>
      <c r="K22" s="93"/>
      <c r="L22" s="65"/>
      <c r="M22" s="65"/>
      <c r="N22" s="65"/>
      <c r="O22" s="65"/>
      <c r="P22" s="65"/>
      <c r="Q22" s="55"/>
    </row>
    <row r="23" spans="1:18" x14ac:dyDescent="0.25">
      <c r="A23" s="55"/>
      <c r="B23" s="99"/>
      <c r="C23" s="99"/>
      <c r="D23" s="99"/>
      <c r="E23" s="99"/>
      <c r="F23" s="100"/>
      <c r="G23" s="91"/>
      <c r="H23" s="92"/>
      <c r="I23" s="92"/>
      <c r="J23" s="92"/>
      <c r="K23" s="93"/>
      <c r="L23" s="65"/>
      <c r="M23" s="65"/>
      <c r="N23" s="65"/>
      <c r="O23" s="65"/>
      <c r="P23" s="65"/>
      <c r="Q23" s="55"/>
    </row>
    <row r="24" spans="1:18" x14ac:dyDescent="0.25">
      <c r="A24" s="55"/>
      <c r="B24" s="99"/>
      <c r="C24" s="99"/>
      <c r="D24" s="99"/>
      <c r="E24" s="99"/>
      <c r="F24" s="100"/>
      <c r="G24" s="91"/>
      <c r="H24" s="92"/>
      <c r="I24" s="92"/>
      <c r="J24" s="92"/>
      <c r="K24" s="93"/>
      <c r="L24" s="65"/>
      <c r="M24" s="65"/>
      <c r="N24" s="65"/>
      <c r="O24" s="65"/>
      <c r="P24" s="65"/>
      <c r="Q24" s="55"/>
    </row>
    <row r="25" spans="1:18" x14ac:dyDescent="0.25">
      <c r="A25" s="55"/>
      <c r="B25" s="99"/>
      <c r="C25" s="99"/>
      <c r="D25" s="99"/>
      <c r="E25" s="99"/>
      <c r="F25" s="100"/>
      <c r="G25" s="91"/>
      <c r="H25" s="92"/>
      <c r="I25" s="92"/>
      <c r="J25" s="92"/>
      <c r="K25" s="93"/>
      <c r="L25" s="65"/>
      <c r="M25" s="65"/>
      <c r="N25" s="65"/>
      <c r="O25" s="65"/>
      <c r="P25" s="65"/>
      <c r="Q25" s="55"/>
    </row>
    <row r="26" spans="1:18" x14ac:dyDescent="0.25">
      <c r="A26" s="55"/>
      <c r="B26" s="99"/>
      <c r="C26" s="99"/>
      <c r="D26" s="99"/>
      <c r="E26" s="99"/>
      <c r="F26" s="100"/>
      <c r="G26" s="91"/>
      <c r="H26" s="92"/>
      <c r="I26" s="92"/>
      <c r="J26" s="92"/>
      <c r="K26" s="93"/>
      <c r="L26" s="65"/>
      <c r="M26" s="65"/>
      <c r="N26" s="65"/>
      <c r="O26" s="65"/>
      <c r="P26" s="65"/>
      <c r="Q26" s="55"/>
    </row>
    <row r="27" spans="1:18" x14ac:dyDescent="0.25">
      <c r="A27" s="55"/>
      <c r="B27" s="99"/>
      <c r="C27" s="99"/>
      <c r="D27" s="99"/>
      <c r="E27" s="99"/>
      <c r="F27" s="100"/>
      <c r="G27" s="91"/>
      <c r="H27" s="92"/>
      <c r="I27" s="92"/>
      <c r="J27" s="92"/>
      <c r="K27" s="93"/>
      <c r="L27" s="65"/>
      <c r="M27" s="65"/>
      <c r="N27" s="65"/>
      <c r="O27" s="65"/>
      <c r="P27" s="65"/>
      <c r="Q27" s="55"/>
    </row>
    <row r="28" spans="1:18" x14ac:dyDescent="0.25">
      <c r="A28" s="55"/>
      <c r="B28" s="99"/>
      <c r="C28" s="99"/>
      <c r="D28" s="99"/>
      <c r="E28" s="99"/>
      <c r="F28" s="100"/>
      <c r="G28" s="91"/>
      <c r="H28" s="92"/>
      <c r="I28" s="92"/>
      <c r="J28" s="92"/>
      <c r="K28" s="93"/>
      <c r="L28" s="65"/>
      <c r="M28" s="65"/>
      <c r="N28" s="65"/>
      <c r="O28" s="65"/>
      <c r="P28" s="65"/>
      <c r="Q28" s="55"/>
    </row>
    <row r="29" spans="1:18" x14ac:dyDescent="0.25">
      <c r="A29" s="55"/>
      <c r="B29" s="99"/>
      <c r="C29" s="99"/>
      <c r="D29" s="99"/>
      <c r="E29" s="99"/>
      <c r="F29" s="100"/>
      <c r="G29" s="91"/>
      <c r="H29" s="92"/>
      <c r="I29" s="92"/>
      <c r="J29" s="92"/>
      <c r="K29" s="93"/>
      <c r="L29" s="65"/>
      <c r="M29" s="65"/>
      <c r="N29" s="65"/>
      <c r="O29" s="65"/>
      <c r="P29" s="65"/>
      <c r="Q29" s="55"/>
    </row>
    <row r="30" spans="1:18" x14ac:dyDescent="0.25">
      <c r="A30" s="55"/>
      <c r="B30" s="99"/>
      <c r="C30" s="99"/>
      <c r="D30" s="99"/>
      <c r="E30" s="99"/>
      <c r="F30" s="100"/>
      <c r="G30" s="91"/>
      <c r="H30" s="92"/>
      <c r="I30" s="92"/>
      <c r="J30" s="92"/>
      <c r="K30" s="93"/>
      <c r="L30" s="65"/>
      <c r="M30" s="65"/>
      <c r="N30" s="65"/>
      <c r="O30" s="65"/>
      <c r="P30" s="65"/>
      <c r="Q30" s="55"/>
      <c r="R30" t="s">
        <v>55</v>
      </c>
    </row>
    <row r="31" spans="1:18" x14ac:dyDescent="0.25">
      <c r="A31" s="55"/>
      <c r="B31" s="99"/>
      <c r="C31" s="99"/>
      <c r="D31" s="99"/>
      <c r="E31" s="99"/>
      <c r="F31" s="100"/>
      <c r="G31" s="91"/>
      <c r="H31" s="92"/>
      <c r="I31" s="92"/>
      <c r="J31" s="92"/>
      <c r="K31" s="93"/>
      <c r="L31" s="67"/>
      <c r="M31" s="67"/>
      <c r="N31" s="67"/>
      <c r="O31" s="67"/>
      <c r="P31" s="67"/>
      <c r="Q31" s="55"/>
    </row>
    <row r="32" spans="1:18" ht="21" customHeight="1" x14ac:dyDescent="0.25">
      <c r="A32" s="55"/>
      <c r="B32" s="58" t="s">
        <v>67</v>
      </c>
      <c r="C32" s="58"/>
      <c r="D32" s="59">
        <f>'APU1'!I18</f>
        <v>33</v>
      </c>
      <c r="E32" s="59"/>
      <c r="F32" s="86"/>
      <c r="G32" s="82" t="s">
        <v>67</v>
      </c>
      <c r="H32" s="57"/>
      <c r="I32" s="84">
        <f>'APU2'!I18</f>
        <v>36</v>
      </c>
      <c r="J32" s="84"/>
      <c r="K32" s="85"/>
      <c r="L32" s="57" t="s">
        <v>67</v>
      </c>
      <c r="M32" s="57"/>
      <c r="N32" s="59">
        <f>'APU3'!I19</f>
        <v>159</v>
      </c>
      <c r="O32" s="59"/>
      <c r="P32" s="59"/>
      <c r="Q32" s="55"/>
    </row>
    <row r="33" spans="1:17" ht="21" customHeight="1" x14ac:dyDescent="0.25">
      <c r="A33" s="55"/>
      <c r="B33" s="58"/>
      <c r="C33" s="58"/>
      <c r="D33" s="59"/>
      <c r="E33" s="59"/>
      <c r="F33" s="86"/>
      <c r="G33" s="83"/>
      <c r="H33" s="58"/>
      <c r="I33" s="84"/>
      <c r="J33" s="84"/>
      <c r="K33" s="85"/>
      <c r="L33" s="58"/>
      <c r="M33" s="58"/>
      <c r="N33" s="59"/>
      <c r="O33" s="59"/>
      <c r="P33" s="59"/>
      <c r="Q33" s="55"/>
    </row>
    <row r="34" spans="1:17" ht="21" customHeight="1" x14ac:dyDescent="0.25">
      <c r="A34" s="55"/>
      <c r="B34" s="58"/>
      <c r="C34" s="58"/>
      <c r="D34" s="59"/>
      <c r="E34" s="59"/>
      <c r="F34" s="86"/>
      <c r="G34" s="83"/>
      <c r="H34" s="58"/>
      <c r="I34" s="84"/>
      <c r="J34" s="84"/>
      <c r="K34" s="85"/>
      <c r="L34" s="58"/>
      <c r="M34" s="58"/>
      <c r="N34" s="59"/>
      <c r="O34" s="59"/>
      <c r="P34" s="59"/>
      <c r="Q34" s="55"/>
    </row>
    <row r="35" spans="1:17" ht="21" customHeight="1" x14ac:dyDescent="0.25">
      <c r="A35" s="55"/>
      <c r="B35" s="58" t="s">
        <v>66</v>
      </c>
      <c r="C35" s="58"/>
      <c r="D35" s="87">
        <f>'APU1'!H18</f>
        <v>72</v>
      </c>
      <c r="E35" s="59"/>
      <c r="F35" s="86"/>
      <c r="G35" s="83" t="s">
        <v>66</v>
      </c>
      <c r="H35" s="58"/>
      <c r="I35" s="84">
        <f>'APU2'!H18</f>
        <v>76</v>
      </c>
      <c r="J35" s="84"/>
      <c r="K35" s="85"/>
      <c r="L35" s="58" t="s">
        <v>66</v>
      </c>
      <c r="M35" s="58"/>
      <c r="N35" s="59">
        <f>'APU3'!H19</f>
        <v>189</v>
      </c>
      <c r="O35" s="59"/>
      <c r="P35" s="59"/>
      <c r="Q35" s="55"/>
    </row>
    <row r="36" spans="1:17" ht="21" customHeight="1" x14ac:dyDescent="0.25">
      <c r="A36" s="55"/>
      <c r="B36" s="58"/>
      <c r="C36" s="58"/>
      <c r="D36" s="87"/>
      <c r="E36" s="59"/>
      <c r="F36" s="86"/>
      <c r="G36" s="83"/>
      <c r="H36" s="58"/>
      <c r="I36" s="84"/>
      <c r="J36" s="84"/>
      <c r="K36" s="85"/>
      <c r="L36" s="58"/>
      <c r="M36" s="58"/>
      <c r="N36" s="59"/>
      <c r="O36" s="59"/>
      <c r="P36" s="59"/>
      <c r="Q36" s="55"/>
    </row>
    <row r="37" spans="1:17" ht="21" customHeight="1" x14ac:dyDescent="0.25">
      <c r="A37" s="55"/>
      <c r="B37" s="60"/>
      <c r="C37" s="60"/>
      <c r="D37" s="88"/>
      <c r="E37" s="89"/>
      <c r="F37" s="90"/>
      <c r="G37" s="83"/>
      <c r="H37" s="58"/>
      <c r="I37" s="84"/>
      <c r="J37" s="84"/>
      <c r="K37" s="85"/>
      <c r="L37" s="58"/>
      <c r="M37" s="58"/>
      <c r="N37" s="59"/>
      <c r="O37" s="59"/>
      <c r="P37" s="59"/>
      <c r="Q37" s="55"/>
    </row>
    <row r="38" spans="1:17" x14ac:dyDescent="0.25">
      <c r="A38" s="55"/>
      <c r="B38" s="55"/>
      <c r="C38" s="55"/>
      <c r="D38" s="55"/>
      <c r="E38" s="55"/>
      <c r="F38" s="56"/>
      <c r="G38" s="61"/>
      <c r="H38" s="62"/>
      <c r="I38" s="62"/>
      <c r="J38" s="62"/>
      <c r="K38" s="63"/>
      <c r="L38" s="65"/>
      <c r="M38" s="65"/>
      <c r="N38" s="65"/>
      <c r="O38" s="65"/>
      <c r="P38" s="65"/>
      <c r="Q38" s="55"/>
    </row>
    <row r="39" spans="1:17" x14ac:dyDescent="0.25">
      <c r="A39" s="55"/>
      <c r="B39" s="55"/>
      <c r="C39" s="55"/>
      <c r="D39" s="55"/>
      <c r="E39" s="55"/>
      <c r="F39" s="56"/>
      <c r="G39" s="64"/>
      <c r="H39" s="65"/>
      <c r="I39" s="65"/>
      <c r="J39" s="65"/>
      <c r="K39" s="66"/>
      <c r="L39" s="65"/>
      <c r="M39" s="65"/>
      <c r="N39" s="65"/>
      <c r="O39" s="65"/>
      <c r="P39" s="65"/>
      <c r="Q39" s="55"/>
    </row>
    <row r="40" spans="1:17" x14ac:dyDescent="0.25">
      <c r="A40" s="55"/>
      <c r="B40" s="55"/>
      <c r="C40" s="55"/>
      <c r="D40" s="55"/>
      <c r="E40" s="55"/>
      <c r="F40" s="56"/>
      <c r="G40" s="64"/>
      <c r="H40" s="65"/>
      <c r="I40" s="65"/>
      <c r="J40" s="65"/>
      <c r="K40" s="66"/>
      <c r="L40" s="65"/>
      <c r="M40" s="65"/>
      <c r="N40" s="65"/>
      <c r="O40" s="65"/>
      <c r="P40" s="65"/>
      <c r="Q40" s="55"/>
    </row>
    <row r="41" spans="1:17" x14ac:dyDescent="0.25">
      <c r="A41" s="55"/>
      <c r="B41" s="55"/>
      <c r="C41" s="55"/>
      <c r="D41" s="55"/>
      <c r="E41" s="55"/>
      <c r="F41" s="56"/>
      <c r="G41" s="64"/>
      <c r="H41" s="65"/>
      <c r="I41" s="65"/>
      <c r="J41" s="65"/>
      <c r="K41" s="66"/>
      <c r="L41" s="65"/>
      <c r="M41" s="65"/>
      <c r="N41" s="65"/>
      <c r="O41" s="65"/>
      <c r="P41" s="65"/>
      <c r="Q41" s="55"/>
    </row>
    <row r="42" spans="1:17" x14ac:dyDescent="0.25">
      <c r="A42" s="55"/>
      <c r="B42" s="55"/>
      <c r="C42" s="55"/>
      <c r="D42" s="55"/>
      <c r="E42" s="55"/>
      <c r="F42" s="56"/>
      <c r="G42" s="64"/>
      <c r="H42" s="65"/>
      <c r="I42" s="65"/>
      <c r="J42" s="65"/>
      <c r="K42" s="66"/>
      <c r="L42" s="65"/>
      <c r="M42" s="65"/>
      <c r="N42" s="65"/>
      <c r="O42" s="65"/>
      <c r="P42" s="65"/>
      <c r="Q42" s="55"/>
    </row>
    <row r="43" spans="1:17" x14ac:dyDescent="0.25">
      <c r="A43" s="55"/>
      <c r="B43" s="55"/>
      <c r="C43" s="55"/>
      <c r="D43" s="55"/>
      <c r="E43" s="55"/>
      <c r="F43" s="56"/>
      <c r="G43" s="64"/>
      <c r="H43" s="65"/>
      <c r="I43" s="65"/>
      <c r="J43" s="65"/>
      <c r="K43" s="66"/>
      <c r="L43" s="65"/>
      <c r="M43" s="65"/>
      <c r="N43" s="65"/>
      <c r="O43" s="65"/>
      <c r="P43" s="65"/>
      <c r="Q43" s="55"/>
    </row>
    <row r="44" spans="1:17" x14ac:dyDescent="0.25">
      <c r="A44" s="55"/>
      <c r="B44" s="55"/>
      <c r="C44" s="55"/>
      <c r="D44" s="55"/>
      <c r="E44" s="55"/>
      <c r="F44" s="56"/>
      <c r="G44" s="64"/>
      <c r="H44" s="65"/>
      <c r="I44" s="65"/>
      <c r="J44" s="65"/>
      <c r="K44" s="66"/>
      <c r="L44" s="65"/>
      <c r="M44" s="65"/>
      <c r="N44" s="65"/>
      <c r="O44" s="65"/>
      <c r="P44" s="65"/>
      <c r="Q44" s="55"/>
    </row>
    <row r="45" spans="1:17" x14ac:dyDescent="0.25">
      <c r="A45" s="55"/>
      <c r="B45" s="55"/>
      <c r="C45" s="55"/>
      <c r="D45" s="55"/>
      <c r="E45" s="55"/>
      <c r="F45" s="56"/>
      <c r="G45" s="64"/>
      <c r="H45" s="65"/>
      <c r="I45" s="65"/>
      <c r="J45" s="65"/>
      <c r="K45" s="66"/>
      <c r="L45" s="65"/>
      <c r="M45" s="65"/>
      <c r="N45" s="65"/>
      <c r="O45" s="65"/>
      <c r="P45" s="65"/>
      <c r="Q45" s="55"/>
    </row>
    <row r="46" spans="1:17" x14ac:dyDescent="0.25">
      <c r="A46" s="55"/>
      <c r="B46" s="55"/>
      <c r="C46" s="55"/>
      <c r="D46" s="55"/>
      <c r="E46" s="55"/>
      <c r="F46" s="56"/>
      <c r="G46" s="64"/>
      <c r="H46" s="65"/>
      <c r="I46" s="65"/>
      <c r="J46" s="65"/>
      <c r="K46" s="66"/>
      <c r="L46" s="65"/>
      <c r="M46" s="65"/>
      <c r="N46" s="65"/>
      <c r="O46" s="65"/>
      <c r="P46" s="65"/>
      <c r="Q46" s="55"/>
    </row>
    <row r="47" spans="1:17" x14ac:dyDescent="0.25">
      <c r="A47" s="55"/>
      <c r="B47" s="55"/>
      <c r="C47" s="55"/>
      <c r="D47" s="55"/>
      <c r="E47" s="55"/>
      <c r="F47" s="56"/>
      <c r="G47" s="64"/>
      <c r="H47" s="65"/>
      <c r="I47" s="65"/>
      <c r="J47" s="65"/>
      <c r="K47" s="66"/>
      <c r="L47" s="65"/>
      <c r="M47" s="65"/>
      <c r="N47" s="65"/>
      <c r="O47" s="65"/>
      <c r="P47" s="65"/>
      <c r="Q47" s="55"/>
    </row>
    <row r="48" spans="1:17" x14ac:dyDescent="0.25">
      <c r="A48" s="55"/>
      <c r="B48" s="55"/>
      <c r="C48" s="55"/>
      <c r="D48" s="55"/>
      <c r="E48" s="55"/>
      <c r="F48" s="56"/>
      <c r="G48" s="64"/>
      <c r="H48" s="65"/>
      <c r="I48" s="65"/>
      <c r="J48" s="65"/>
      <c r="K48" s="66"/>
      <c r="L48" s="65"/>
      <c r="M48" s="65"/>
      <c r="N48" s="65"/>
      <c r="O48" s="65"/>
      <c r="P48" s="65"/>
      <c r="Q48" s="55"/>
    </row>
    <row r="49" spans="1:17" ht="15" customHeight="1" x14ac:dyDescent="0.25">
      <c r="A49" s="55"/>
      <c r="B49" s="55"/>
      <c r="C49" s="55"/>
      <c r="D49" s="55"/>
      <c r="E49" s="55"/>
      <c r="F49" s="56"/>
      <c r="G49" s="64"/>
      <c r="H49" s="65"/>
      <c r="I49" s="65"/>
      <c r="J49" s="65"/>
      <c r="K49" s="66"/>
      <c r="L49" s="65"/>
      <c r="M49" s="65"/>
      <c r="N49" s="65"/>
      <c r="O49" s="65"/>
      <c r="P49" s="65"/>
      <c r="Q49" s="55"/>
    </row>
    <row r="50" spans="1:17" ht="15" customHeight="1" x14ac:dyDescent="0.25">
      <c r="A50" s="55"/>
      <c r="B50" s="55"/>
      <c r="C50" s="55"/>
      <c r="D50" s="55"/>
      <c r="E50" s="55"/>
      <c r="F50" s="56"/>
      <c r="G50" s="64"/>
      <c r="H50" s="65"/>
      <c r="I50" s="65"/>
      <c r="J50" s="65"/>
      <c r="K50" s="66"/>
      <c r="L50" s="65"/>
      <c r="M50" s="65"/>
      <c r="N50" s="65"/>
      <c r="O50" s="65"/>
      <c r="P50" s="65"/>
      <c r="Q50" s="55"/>
    </row>
    <row r="51" spans="1:17" ht="15" customHeight="1" x14ac:dyDescent="0.25">
      <c r="A51" s="24"/>
      <c r="B51" s="32"/>
      <c r="C51" s="32"/>
      <c r="D51" s="33"/>
      <c r="E51" s="33"/>
      <c r="F51" s="33"/>
      <c r="G51" s="32"/>
      <c r="H51" s="32"/>
      <c r="I51" s="33"/>
      <c r="J51" s="33"/>
      <c r="K51" s="33"/>
      <c r="L51" s="32"/>
      <c r="M51" s="32"/>
      <c r="N51" s="33"/>
      <c r="O51" s="33"/>
      <c r="P51" s="24"/>
      <c r="Q51" s="24"/>
    </row>
    <row r="52" spans="1:17" ht="15" customHeight="1" x14ac:dyDescent="0.25">
      <c r="B52" s="16"/>
      <c r="C52" s="16"/>
      <c r="D52" s="17"/>
      <c r="E52" s="17"/>
      <c r="F52" s="17"/>
      <c r="G52" s="16"/>
      <c r="H52" s="16"/>
      <c r="I52" s="13"/>
      <c r="J52" s="17"/>
      <c r="K52" s="17"/>
      <c r="L52" s="16"/>
      <c r="M52" s="16"/>
      <c r="N52" s="17"/>
      <c r="O52" s="17"/>
    </row>
    <row r="53" spans="1:17" ht="15" customHeight="1" x14ac:dyDescent="0.25">
      <c r="B53" s="16"/>
      <c r="C53" s="16"/>
      <c r="D53" s="18"/>
      <c r="E53" s="18"/>
      <c r="F53" s="18"/>
      <c r="G53" s="16"/>
      <c r="H53" s="16"/>
      <c r="I53" s="18"/>
      <c r="J53" s="18"/>
      <c r="K53" s="18"/>
      <c r="L53" s="16"/>
      <c r="M53" s="16"/>
      <c r="N53" s="18"/>
      <c r="O53" s="18"/>
    </row>
    <row r="54" spans="1:17" ht="15" customHeight="1" x14ac:dyDescent="0.25">
      <c r="B54" s="16"/>
      <c r="C54" s="16"/>
      <c r="D54" s="18"/>
      <c r="E54" s="18"/>
      <c r="F54" s="18"/>
      <c r="G54" s="16"/>
      <c r="H54" s="16"/>
      <c r="I54" s="18"/>
      <c r="J54" s="18"/>
      <c r="K54" s="18"/>
      <c r="L54" s="16"/>
      <c r="M54" s="16"/>
      <c r="N54" s="18"/>
      <c r="O54" s="18"/>
    </row>
    <row r="55" spans="1:17" ht="15" customHeight="1" x14ac:dyDescent="0.25">
      <c r="B55" s="16"/>
      <c r="C55" s="16"/>
      <c r="D55" s="15"/>
      <c r="E55" s="15"/>
      <c r="F55" s="15"/>
      <c r="G55" s="16"/>
      <c r="H55" s="16"/>
      <c r="I55" s="15"/>
      <c r="J55" s="15"/>
      <c r="K55" s="15"/>
      <c r="L55" s="16"/>
      <c r="M55" s="16"/>
      <c r="N55" s="15"/>
      <c r="O55" s="15"/>
    </row>
    <row r="56" spans="1:17" ht="15" customHeight="1" x14ac:dyDescent="0.25">
      <c r="B56" s="16"/>
      <c r="C56" s="16"/>
      <c r="D56" s="15"/>
      <c r="E56" s="15"/>
      <c r="F56" s="15"/>
      <c r="G56" s="16"/>
      <c r="H56" s="16"/>
      <c r="I56" s="15"/>
      <c r="J56" s="15"/>
      <c r="K56" s="15"/>
      <c r="L56" s="16"/>
      <c r="M56" s="16"/>
      <c r="N56" s="15"/>
      <c r="O56" s="15"/>
    </row>
    <row r="57" spans="1:17" x14ac:dyDescent="0.25">
      <c r="B57" s="14"/>
      <c r="C57" s="14"/>
      <c r="D57" s="14"/>
      <c r="E57" s="14"/>
      <c r="F57" s="14"/>
    </row>
    <row r="58" spans="1:17" x14ac:dyDescent="0.25">
      <c r="B58" s="14"/>
      <c r="C58" s="14"/>
      <c r="D58" s="14"/>
      <c r="E58" s="14"/>
      <c r="F58" s="14"/>
    </row>
    <row r="59" spans="1:17" x14ac:dyDescent="0.25">
      <c r="B59" s="14"/>
      <c r="C59" s="14"/>
      <c r="D59" s="14"/>
      <c r="E59" s="14"/>
      <c r="F59" s="14"/>
    </row>
    <row r="60" spans="1:17" x14ac:dyDescent="0.25">
      <c r="B60" s="14"/>
      <c r="C60" s="14"/>
      <c r="D60" s="14"/>
      <c r="E60" s="14"/>
      <c r="F60" s="14"/>
    </row>
    <row r="61" spans="1:17" x14ac:dyDescent="0.25">
      <c r="B61" s="14"/>
      <c r="C61" s="14"/>
      <c r="D61" s="14"/>
      <c r="E61" s="14"/>
      <c r="F61" s="14"/>
    </row>
    <row r="62" spans="1:17" x14ac:dyDescent="0.25">
      <c r="B62" s="14"/>
      <c r="C62" s="14"/>
      <c r="D62" s="14"/>
      <c r="E62" s="14"/>
      <c r="F62" s="14"/>
    </row>
    <row r="63" spans="1:17" x14ac:dyDescent="0.25">
      <c r="B63" s="14"/>
      <c r="C63" s="14"/>
      <c r="D63" s="14"/>
      <c r="E63" s="14"/>
      <c r="F63" s="14"/>
    </row>
    <row r="64" spans="1:17" x14ac:dyDescent="0.25">
      <c r="B64" s="14"/>
      <c r="C64" s="14"/>
      <c r="D64" s="14"/>
      <c r="E64" s="14"/>
      <c r="F64" s="14"/>
    </row>
    <row r="65" spans="2:6" x14ac:dyDescent="0.25">
      <c r="B65" s="14"/>
      <c r="C65" s="14"/>
      <c r="D65" s="14"/>
      <c r="E65" s="14"/>
      <c r="F65" s="14"/>
    </row>
    <row r="66" spans="2:6" x14ac:dyDescent="0.25">
      <c r="B66" s="14"/>
      <c r="C66" s="14"/>
      <c r="D66" s="14"/>
      <c r="E66" s="14"/>
      <c r="F66" s="14"/>
    </row>
    <row r="67" spans="2:6" x14ac:dyDescent="0.25">
      <c r="B67" s="14"/>
      <c r="C67" s="14"/>
      <c r="D67" s="14"/>
      <c r="E67" s="14"/>
      <c r="F67" s="14"/>
    </row>
  </sheetData>
  <mergeCells count="60">
    <mergeCell ref="K10:K11"/>
    <mergeCell ref="B19:C20"/>
    <mergeCell ref="D15:F16"/>
    <mergeCell ref="N17:P18"/>
    <mergeCell ref="N19:P20"/>
    <mergeCell ref="B17:C18"/>
    <mergeCell ref="G17:H18"/>
    <mergeCell ref="L17:M18"/>
    <mergeCell ref="I17:K18"/>
    <mergeCell ref="B15:C16"/>
    <mergeCell ref="G15:H16"/>
    <mergeCell ref="L15:M16"/>
    <mergeCell ref="A1:Q2"/>
    <mergeCell ref="L4:P4"/>
    <mergeCell ref="L5:N6"/>
    <mergeCell ref="O5:P6"/>
    <mergeCell ref="I19:K20"/>
    <mergeCell ref="O7:P8"/>
    <mergeCell ref="N15:P16"/>
    <mergeCell ref="I15:K16"/>
    <mergeCell ref="B4:E5"/>
    <mergeCell ref="B6:E8"/>
    <mergeCell ref="G6:J8"/>
    <mergeCell ref="B10:D11"/>
    <mergeCell ref="E10:E11"/>
    <mergeCell ref="L7:N8"/>
    <mergeCell ref="F4:F8"/>
    <mergeCell ref="K4:K8"/>
    <mergeCell ref="A3:A50"/>
    <mergeCell ref="G32:H34"/>
    <mergeCell ref="G35:H37"/>
    <mergeCell ref="I32:K34"/>
    <mergeCell ref="I35:K37"/>
    <mergeCell ref="D32:F34"/>
    <mergeCell ref="D35:F37"/>
    <mergeCell ref="G21:K31"/>
    <mergeCell ref="G10:H11"/>
    <mergeCell ref="I10:J11"/>
    <mergeCell ref="G19:H20"/>
    <mergeCell ref="B13:F14"/>
    <mergeCell ref="G13:K14"/>
    <mergeCell ref="B3:P3"/>
    <mergeCell ref="B21:F31"/>
    <mergeCell ref="D19:F20"/>
    <mergeCell ref="Q3:Q50"/>
    <mergeCell ref="B38:F50"/>
    <mergeCell ref="L32:M34"/>
    <mergeCell ref="L35:M37"/>
    <mergeCell ref="N32:P34"/>
    <mergeCell ref="N35:P37"/>
    <mergeCell ref="B32:C34"/>
    <mergeCell ref="B35:C37"/>
    <mergeCell ref="G38:K50"/>
    <mergeCell ref="L38:P50"/>
    <mergeCell ref="L21:P31"/>
    <mergeCell ref="L10:M11"/>
    <mergeCell ref="L19:M20"/>
    <mergeCell ref="L13:P14"/>
    <mergeCell ref="D17:F18"/>
    <mergeCell ref="G4:J5"/>
  </mergeCells>
  <hyperlinks>
    <hyperlink ref="B13:E14" location="'APU1'!A1" display="APU 1" xr:uid="{EB7518A3-6889-42A8-8042-3FE75A637479}"/>
    <hyperlink ref="G13:J14" location="'APU2'!A1" display="APU 2" xr:uid="{E498494E-CEBC-47D7-A76C-D6E30F1EB5D7}"/>
    <hyperlink ref="L13:O14" location="'APU3'!A1" display="APU 3" xr:uid="{43866E53-29A0-4E1E-9A3A-C1925EEA3E6F}"/>
  </hyperlinks>
  <pageMargins left="0.7" right="0.7" top="0.75" bottom="0.75" header="0.3" footer="0.3"/>
  <pageSetup paperSize="8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A5D7D8-7B26-45D9-8293-5993769B4A7A}">
          <x14:formula1>
            <xm:f>Sheet2!$A$3:$A$8</xm:f>
          </x14:formula1>
          <xm:sqref>E10:E11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90C0-C8C6-45F7-833A-1444DB7F9443}">
  <dimension ref="A1:C16"/>
  <sheetViews>
    <sheetView topLeftCell="A4" workbookViewId="0">
      <selection activeCell="G31" sqref="G31"/>
    </sheetView>
  </sheetViews>
  <sheetFormatPr defaultRowHeight="15" x14ac:dyDescent="0.25"/>
  <cols>
    <col min="1" max="1" width="11.28515625" bestFit="1" customWidth="1"/>
    <col min="2" max="2" width="16.42578125" bestFit="1" customWidth="1"/>
    <col min="3" max="3" width="9.85546875" bestFit="1" customWidth="1"/>
    <col min="5" max="5" width="9.42578125" bestFit="1" customWidth="1"/>
    <col min="7" max="7" width="9.42578125" bestFit="1" customWidth="1"/>
    <col min="14" max="14" width="11.7109375" customWidth="1"/>
  </cols>
  <sheetData>
    <row r="1" spans="1:3" x14ac:dyDescent="0.25">
      <c r="A1" s="40" t="s">
        <v>85</v>
      </c>
      <c r="B1" s="40" t="s">
        <v>86</v>
      </c>
      <c r="C1" s="44" t="s">
        <v>83</v>
      </c>
    </row>
    <row r="2" spans="1:3" x14ac:dyDescent="0.25">
      <c r="A2" s="40" t="s">
        <v>84</v>
      </c>
      <c r="B2" s="40" t="s">
        <v>70</v>
      </c>
      <c r="C2" s="44">
        <f>Main!B6</f>
        <v>0.5714285714285714</v>
      </c>
    </row>
    <row r="3" spans="1:3" x14ac:dyDescent="0.25">
      <c r="A3" s="40" t="s">
        <v>84</v>
      </c>
      <c r="B3" s="40" t="s">
        <v>71</v>
      </c>
      <c r="C3" s="44">
        <f>Main!G6</f>
        <v>0.42857142857142855</v>
      </c>
    </row>
    <row r="4" spans="1:3" x14ac:dyDescent="0.25">
      <c r="A4" s="40" t="s">
        <v>84</v>
      </c>
      <c r="B4" s="40" t="s">
        <v>72</v>
      </c>
      <c r="C4" s="40" t="str">
        <f>Main!O5</f>
        <v>DP</v>
      </c>
    </row>
    <row r="5" spans="1:3" x14ac:dyDescent="0.25">
      <c r="A5" s="40" t="s">
        <v>84</v>
      </c>
      <c r="B5" s="40" t="s">
        <v>73</v>
      </c>
      <c r="C5" s="40" t="str">
        <f>Main!O7</f>
        <v>BLW</v>
      </c>
    </row>
    <row r="6" spans="1:3" x14ac:dyDescent="0.25">
      <c r="A6" s="40" t="s">
        <v>6</v>
      </c>
      <c r="B6" s="40" t="s">
        <v>74</v>
      </c>
      <c r="C6" s="40">
        <f>Main!D15</f>
        <v>8</v>
      </c>
    </row>
    <row r="7" spans="1:3" x14ac:dyDescent="0.25">
      <c r="A7" s="40" t="s">
        <v>6</v>
      </c>
      <c r="B7" s="40" t="s">
        <v>77</v>
      </c>
      <c r="C7" s="40">
        <f>Main!D17</f>
        <v>8</v>
      </c>
    </row>
    <row r="8" spans="1:3" x14ac:dyDescent="0.25">
      <c r="A8" s="40" t="s">
        <v>6</v>
      </c>
      <c r="B8" s="40" t="s">
        <v>76</v>
      </c>
      <c r="C8" s="40">
        <f>Main!D19</f>
        <v>16</v>
      </c>
    </row>
    <row r="9" spans="1:3" x14ac:dyDescent="0.25">
      <c r="A9" s="40" t="s">
        <v>15</v>
      </c>
      <c r="B9" s="40" t="s">
        <v>78</v>
      </c>
      <c r="C9" s="40">
        <f>Main!I15</f>
        <v>13</v>
      </c>
    </row>
    <row r="10" spans="1:3" x14ac:dyDescent="0.25">
      <c r="A10" s="40" t="s">
        <v>15</v>
      </c>
      <c r="B10" s="40" t="s">
        <v>75</v>
      </c>
      <c r="C10" s="40">
        <f>Main!I17</f>
        <v>4</v>
      </c>
    </row>
    <row r="11" spans="1:3" x14ac:dyDescent="0.25">
      <c r="A11" s="40" t="s">
        <v>15</v>
      </c>
      <c r="B11" s="40" t="s">
        <v>79</v>
      </c>
      <c r="C11" s="40">
        <f>Main!I19</f>
        <v>17</v>
      </c>
    </row>
    <row r="12" spans="1:3" x14ac:dyDescent="0.25">
      <c r="A12" s="40" t="s">
        <v>22</v>
      </c>
      <c r="B12" s="40" t="s">
        <v>80</v>
      </c>
      <c r="C12" s="40">
        <f>Main!N15</f>
        <v>7</v>
      </c>
    </row>
    <row r="13" spans="1:3" x14ac:dyDescent="0.25">
      <c r="A13" s="40" t="s">
        <v>22</v>
      </c>
      <c r="B13" s="40" t="s">
        <v>81</v>
      </c>
      <c r="C13" s="40">
        <f>Main!N17</f>
        <v>9</v>
      </c>
    </row>
    <row r="14" spans="1:3" x14ac:dyDescent="0.25">
      <c r="A14" s="40" t="s">
        <v>22</v>
      </c>
      <c r="B14" s="40" t="s">
        <v>82</v>
      </c>
      <c r="C14" s="40">
        <f>Main!N19</f>
        <v>16</v>
      </c>
    </row>
    <row r="16" spans="1:3" x14ac:dyDescent="0.25">
      <c r="A16" t="str" cm="1" vm="1">
        <f t="array" ref="A16">_xlfn._xlws.PY(0,1,TablaDatos[#All])</f>
        <v>[
 {
  "Status": "Global",
  "Descripcion": "Cumplimiento",
  "Dato": 0.5714285714285714
 },
 {
  "Status": "Global",
  "Descripcion": "Incumplimiento",
  "Dato": 0.42857142857142855
 },
 {
  "Status": "Global",
  "Descripcion": "C.Diario mayor",
  "Dato": "DP"
 },
 {
  "Status": "Global",
  "Descripcion": "C.Diario menor",
  "Dato": "BLW"
 },
 {
  "Status": "APU1",
  "Descripcion": "Si Cont. 1",
  "Dato": 8
 },
 {
  "Status": "APU1",
  "Descripcion": "No Cont. 1",
  "Dato": 8
 },
 {
  "Status": "APU1",
  "Descripcion": "Tot 1",
  "Dato": 16
 },
 {
  "Status": "APU2",
  "Descripcion": "Si Cont. 2",
  "Dato": 13
 },
 {
  "Status": "APU2",
  "Descripcion": "No Cont. 2",
  "Dato": 4
 },
 {
  "Status": "APU2",
  "Descripcion": "Tot 2",
  "Dato": 17
 },
 {
  "Status": "APU3",
  "Descripcion": "Si Cont. 3",
  "Dato": 7
 },
 {
  "Status": "APU3",
  "Descripcion": "No Cont. 3",
  "Dato": 9
 },
 {
  "Status": "APU3",
  "Descripcion": "Tot 3",
  "Dato": 16
 }
]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30AB-B597-4A0A-AC60-B3528432E457}">
  <sheetPr codeName="Sheet3"/>
  <dimension ref="A1:Q21"/>
  <sheetViews>
    <sheetView tabSelected="1" workbookViewId="0">
      <selection activeCell="H12" sqref="H12:J17"/>
    </sheetView>
  </sheetViews>
  <sheetFormatPr defaultRowHeight="15" x14ac:dyDescent="0.25"/>
  <cols>
    <col min="1" max="1" width="13.7109375" bestFit="1" customWidth="1"/>
    <col min="2" max="2" width="11.42578125" bestFit="1" customWidth="1"/>
    <col min="3" max="3" width="13.5703125" bestFit="1" customWidth="1"/>
    <col min="4" max="4" width="13.140625" bestFit="1" customWidth="1"/>
    <col min="5" max="5" width="13.28515625" bestFit="1" customWidth="1"/>
    <col min="7" max="7" width="11.42578125" bestFit="1" customWidth="1"/>
    <col min="8" max="8" width="16.85546875" customWidth="1"/>
    <col min="9" max="9" width="16.140625" customWidth="1"/>
    <col min="10" max="10" width="15.42578125" customWidth="1"/>
  </cols>
  <sheetData>
    <row r="1" spans="1:17" ht="18.75" x14ac:dyDescent="0.3">
      <c r="A1" s="11" t="s">
        <v>56</v>
      </c>
    </row>
    <row r="2" spans="1:17" x14ac:dyDescent="0.2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"/>
    </row>
    <row r="10" spans="1:17" ht="15" customHeight="1" x14ac:dyDescent="0.25"/>
    <row r="11" spans="1:17" ht="15" customHeight="1" x14ac:dyDescent="0.25">
      <c r="B11" t="s">
        <v>87</v>
      </c>
      <c r="C11" t="s">
        <v>7</v>
      </c>
      <c r="D11" t="s">
        <v>57</v>
      </c>
      <c r="E11" t="s">
        <v>10</v>
      </c>
      <c r="G11" t="s">
        <v>87</v>
      </c>
      <c r="H11" s="28" t="s">
        <v>38</v>
      </c>
      <c r="I11" s="28" t="s">
        <v>39</v>
      </c>
      <c r="J11" s="25" t="s">
        <v>58</v>
      </c>
    </row>
    <row r="12" spans="1:17" x14ac:dyDescent="0.25">
      <c r="B12" s="7" t="s">
        <v>5</v>
      </c>
      <c r="C12">
        <f>COUNTIFS(Data!D2:AU2, $C$11,Data!$D$1:$AU$1, "&gt;=" &amp; Main!$I$10,Data!$D$1:$AU$1, "&lt;=" &amp; Main!$L$10)</f>
        <v>3</v>
      </c>
      <c r="D12">
        <f>COUNTIFS(Data!$D2:$AU2, $D$11,Data!$D$1:$AU$1, "&gt;=" &amp;Main!$I$10,Data!$D$1:$AU$1, "&lt;=" &amp; Main!$L$10)</f>
        <v>0</v>
      </c>
      <c r="E12">
        <f>COUNTIFS(Data!$D2:$AU2, $E$11,Data!$D$1:$AU$1, "&gt;=" &amp;Main!$I$10,Data!$D$1:$AU$1, "&lt;=" &amp; Main!$L$10)</f>
        <v>12</v>
      </c>
      <c r="G12" s="29" t="s">
        <v>5</v>
      </c>
      <c r="H12" s="19">
        <f>SUMIFS((Data!$D33:$AU33), Data!$D$31:$AU$31, H$11, Data!$D$32:$AU$32, "&gt;=" &amp; Main!$I$10, Data!$D$32:$AU$32, "&lt;=" &amp; Main!$L$10)</f>
        <v>8</v>
      </c>
      <c r="I12" s="19">
        <f>SUMIFS((Data!$D33:$AU33), Data!$D$31:$AU$31, I$11, Data!$D$32:$AU$32, "&gt;=" &amp; Main!$I$10, Data!$D$32:$AU$32, "&lt;=" &amp; Main!$L$10)</f>
        <v>8</v>
      </c>
      <c r="J12" s="25">
        <f>APU1Dif[[#This Row],[inventario total]]-APU1Dif[[#This Row],[diferencias]]</f>
        <v>0</v>
      </c>
      <c r="K12" s="12"/>
    </row>
    <row r="13" spans="1:17" x14ac:dyDescent="0.25">
      <c r="B13" s="5" t="s">
        <v>8</v>
      </c>
      <c r="C13">
        <f>COUNTIFS(Data!D3:AU3, $C$11,Data!$D$1:$AU$1, "&gt;=" &amp; Main!$I$10,Data!$D$1:$AU$1, "&lt;=" &amp; Main!$L$10)</f>
        <v>1</v>
      </c>
      <c r="D13">
        <f>COUNTIFS(Data!$D3:$AU3, $D$11,Data!$D$1:$AU$1, "&gt;=" &amp;Main!$I$10,Data!$D$1:$AU$1, "&lt;=" &amp; Main!$L$10)</f>
        <v>2</v>
      </c>
      <c r="E13">
        <f>COUNTIFS(Data!$D3:$AU3, $E$11,Data!$D$1:$AU$1, "&gt;=" &amp;Main!$I$10,Data!$D$1:$AU$1, "&lt;=" &amp; Main!$L$10)</f>
        <v>12</v>
      </c>
      <c r="G13" s="29" t="s">
        <v>8</v>
      </c>
      <c r="H13" s="19">
        <f>SUMIFS((Data!$D34:$AU34), Data!$D$31:$AU$31, H$11, Data!$D$32:$AU$32, "&gt;=" &amp; Main!$I$10, Data!$D$32:$AU$32, "&lt;=" &amp; Main!$L$10)</f>
        <v>13</v>
      </c>
      <c r="I13" s="19">
        <f>SUMIFS((Data!$D34:$AU34), Data!$D$31:$AU$31, I$11, Data!$D$32:$AU$32, "&gt;=" &amp; Main!$I$10, Data!$D$32:$AU$32, "&lt;=" &amp; Main!$L$10)</f>
        <v>7</v>
      </c>
      <c r="J13" s="25">
        <f>APU1Dif[[#This Row],[inventario total]]-APU1Dif[[#This Row],[diferencias]]</f>
        <v>6</v>
      </c>
    </row>
    <row r="14" spans="1:17" x14ac:dyDescent="0.25">
      <c r="B14" s="2" t="s">
        <v>9</v>
      </c>
      <c r="C14">
        <f>COUNTIFS(Data!D4:AU4, $C$11,Data!$D$1:$AU$1, "&gt;=" &amp; Main!$I$10,Data!$D$1:$AU$1, "&lt;=" &amp; Main!$L$10)</f>
        <v>3</v>
      </c>
      <c r="D14">
        <f>COUNTIFS(Data!$D4:$AU4, $D$11,Data!$D$1:$AU$1, "&gt;=" &amp;Main!$I$10,Data!$D$1:$AU$1, "&lt;=" &amp; Main!$L$10)</f>
        <v>0</v>
      </c>
      <c r="E14">
        <f>COUNTIFS(Data!$D4:$AU4, $E$11,Data!$D$1:$AU$1, "&gt;=" &amp;Main!$I$10,Data!$D$1:$AU$1, "&lt;=" &amp; Main!$L$10)</f>
        <v>12</v>
      </c>
      <c r="G14" s="29" t="s">
        <v>9</v>
      </c>
      <c r="H14" s="19">
        <f>SUMIFS((Data!$D35:$AU35), Data!$D$31:$AU$31, H$11, Data!$D$32:$AU$32, "&gt;=" &amp; Main!$I$10, Data!$D$32:$AU$32, "&lt;=" &amp; Main!$L$10)</f>
        <v>4</v>
      </c>
      <c r="I14" s="19">
        <f>SUMIFS((Data!$D35:$AU35), Data!$D$31:$AU$31, I$11, Data!$D$32:$AU$32, "&gt;=" &amp; Main!$I$10, Data!$D$32:$AU$32, "&lt;=" &amp; Main!$L$10)</f>
        <v>4</v>
      </c>
      <c r="J14" s="25">
        <f>APU1Dif[[#This Row],[inventario total]]-APU1Dif[[#This Row],[diferencias]]</f>
        <v>0</v>
      </c>
      <c r="K14" s="12"/>
    </row>
    <row r="15" spans="1:17" x14ac:dyDescent="0.25">
      <c r="B15" s="2" t="s">
        <v>11</v>
      </c>
      <c r="C15">
        <f>COUNTIFS(Data!D5:AU5, $C$11,Data!$D$1:$AU$1, "&gt;=" &amp; Main!$I$10,Data!$D$1:$AU$1, "&lt;=" &amp; Main!$L$10)</f>
        <v>0</v>
      </c>
      <c r="D15">
        <f>COUNTIFS(Data!$D5:$AU5, $D$11,Data!$D$1:$AU$1, "&gt;=" &amp;Main!$I$10,Data!$D$1:$AU$1, "&lt;=" &amp; Main!$L$10)</f>
        <v>3</v>
      </c>
      <c r="E15">
        <f>COUNTIFS(Data!$D5:$AU5, $E$11,Data!$D$1:$AU$1, "&gt;=" &amp;Main!$I$10,Data!$D$1:$AU$1, "&lt;=" &amp; Main!$L$10)</f>
        <v>12</v>
      </c>
      <c r="G15" s="29" t="s">
        <v>11</v>
      </c>
      <c r="H15" s="19">
        <f>SUMIFS((Data!$D36:$AU36), Data!$D$31:$AU$31, H$11, Data!$D$32:$AU$32, "&gt;=" &amp; Main!$I$10, Data!$D$32:$AU$32, "&lt;=" &amp; Main!$L$10)</f>
        <v>26</v>
      </c>
      <c r="I15" s="19">
        <f>SUMIFS((Data!$D36:$AU36), Data!$D$31:$AU$31, I$11, Data!$D$32:$AU$32, "&gt;=" &amp; Main!$I$10, Data!$D$32:$AU$32, "&lt;=" &amp; Main!$L$10)</f>
        <v>5</v>
      </c>
      <c r="J15" s="25">
        <f>APU1Dif[[#This Row],[inventario total]]-APU1Dif[[#This Row],[diferencias]]</f>
        <v>21</v>
      </c>
    </row>
    <row r="16" spans="1:17" x14ac:dyDescent="0.25">
      <c r="B16" s="2" t="s">
        <v>12</v>
      </c>
      <c r="C16">
        <f>COUNTIFS(Data!D6:AU6, $C$11,Data!$D$1:$AU$1, "&gt;=" &amp; Main!$I$10,Data!$D$1:$AU$1, "&lt;=" &amp; Main!$L$10)</f>
        <v>0</v>
      </c>
      <c r="D16">
        <f>COUNTIFS(Data!$D6:$AU6, $D$11,Data!$D$1:$AU$1, "&gt;=" &amp;Main!$I$10,Data!$D$1:$AU$1, "&lt;=" &amp; Main!$L$10)</f>
        <v>1</v>
      </c>
      <c r="E16">
        <f>COUNTIFS(Data!$D6:$AU6, $E$11,Data!$D$1:$AU$1, "&gt;=" &amp;Main!$I$10,Data!$D$1:$AU$1, "&lt;=" &amp; Main!$L$10)</f>
        <v>14</v>
      </c>
      <c r="G16" s="29" t="s">
        <v>12</v>
      </c>
      <c r="H16" s="19">
        <f>SUMIFS((Data!$D37:$AU37), Data!$D$31:$AU$31, H$11, Data!$D$32:$AU$32, "&gt;=" &amp; Main!$I$10, Data!$D$32:$AU$32, "&lt;=" &amp; Main!$L$10)</f>
        <v>2</v>
      </c>
      <c r="I16" s="19">
        <f>SUMIFS((Data!$D37:$AU37), Data!$D$31:$AU$31, I$11, Data!$D$32:$AU$32, "&gt;=" &amp; Main!$I$10, Data!$D$32:$AU$32, "&lt;=" &amp; Main!$L$10)</f>
        <v>0</v>
      </c>
      <c r="J16" s="25">
        <f>APU1Dif[[#This Row],[inventario total]]-APU1Dif[[#This Row],[diferencias]]</f>
        <v>2</v>
      </c>
    </row>
    <row r="17" spans="2:10" x14ac:dyDescent="0.25">
      <c r="B17" s="2" t="s">
        <v>13</v>
      </c>
      <c r="C17">
        <f>COUNTIFS(Data!D7:AU7, $C$11,Data!$D$1:$AU$1, "&gt;=" &amp; Main!$I$10,Data!$D$1:$AU$1, "&lt;=" &amp; Main!$L$10)</f>
        <v>1</v>
      </c>
      <c r="D17">
        <f>COUNTIFS(Data!$D7:$AU7, $D$11,Data!$D$1:$AU$1, "&gt;=" &amp;Main!$I$10,Data!$D$1:$AU$1, "&lt;=" &amp; Main!$L$10)</f>
        <v>2</v>
      </c>
      <c r="E17">
        <f>COUNTIFS(Data!$D7:$AU7, $E$11,Data!$D$1:$AU$1, "&gt;=" &amp;Main!$I$10,Data!$D$1:$AU$1, "&lt;=" &amp; Main!$L$10)</f>
        <v>12</v>
      </c>
      <c r="G17" s="29" t="s">
        <v>13</v>
      </c>
      <c r="H17" s="19">
        <f>SUMIFS((Data!$D38:$AU38), Data!$D$31:$AU$31, H$11, Data!$D$32:$AU$32, "&gt;=" &amp; Main!$I$10, Data!$D$32:$AU$32, "&lt;=" &amp; Main!$L$10)</f>
        <v>19</v>
      </c>
      <c r="I17" s="19">
        <f>SUMIFS((Data!$D38:$AU38), Data!$D$31:$AU$31, I$11, Data!$D$32:$AU$32, "&gt;=" &amp; Main!$I$10, Data!$D$32:$AU$32, "&lt;=" &amp; Main!$L$10)</f>
        <v>9</v>
      </c>
      <c r="J17" s="25">
        <f>APU1Dif[[#This Row],[inventario total]]-APU1Dif[[#This Row],[diferencias]]</f>
        <v>10</v>
      </c>
    </row>
    <row r="18" spans="2:10" x14ac:dyDescent="0.25">
      <c r="B18" s="8" t="s">
        <v>54</v>
      </c>
      <c r="C18">
        <f>SUM(APU1Cont[No cumplio])</f>
        <v>8</v>
      </c>
      <c r="D18">
        <f>SUM(APU1Cont[Si Cumplio])</f>
        <v>8</v>
      </c>
      <c r="E18">
        <f>SUM(APU1Cont[Sin Conteo])</f>
        <v>74</v>
      </c>
      <c r="H18" s="19">
        <f>SUM(H12:H17)</f>
        <v>72</v>
      </c>
      <c r="I18" s="30">
        <f>SUM(I12:I17)</f>
        <v>33</v>
      </c>
      <c r="J18" s="37">
        <f>H18-I18</f>
        <v>39</v>
      </c>
    </row>
    <row r="19" spans="2:10" x14ac:dyDescent="0.25">
      <c r="H19" s="30"/>
      <c r="I19" s="31">
        <f>IFERROR((I18/H18),0)</f>
        <v>0.45833333333333331</v>
      </c>
      <c r="J19" s="31">
        <f>IFERROR((J18/H18),0)</f>
        <v>0.54166666666666663</v>
      </c>
    </row>
    <row r="21" spans="2:10" x14ac:dyDescent="0.25">
      <c r="B21" t="str" cm="1" vm="2">
        <f t="array" ref="B21">_xlfn._xlws.PY(0,1,APU1Cont[#All])</f>
        <v>[
 {
  "Linea": "BLW",
  "No cumplio": 3,
  "Si Cumplio": 0,
  "Sin Conteo": 12
 },
 {
  "Linea": "CON",
  "No cumplio": 1,
  "Si Cumplio": 2,
  "Sin Conteo": 12
 },
 {
  "Linea": "CR",
  "No cumplio": 3,
  "Si Cumplio": 0,
  "Sin Conteo": 12
 },
 {
  "Linea": "DP",
  "No cumplio": 0,
  "Si Cumplio": 3,
  "Sin Conteo": 12
 },
 {
  "Linea": "HRS",
  "No cumplio": 0,
  "Si Cumplio": 1,
  "Sin Conteo": 14
 },
 {
  "Linea": "SKID",
  "No cumplio": 1,
  "Si Cumplio": 2,
  "Sin Conteo": 12
 },
 {
  "Linea": "Total",
  "No cumplio": 8,
  "Si Cumplio": 8,
  "Sin Conteo": 74
 }
]</v>
      </c>
    </row>
  </sheetData>
  <conditionalFormatting sqref="B12:B17">
    <cfRule type="cellIs" dxfId="17" priority="7" operator="equal">
      <formula>"No cumplio"</formula>
    </cfRule>
    <cfRule type="cellIs" dxfId="16" priority="8" operator="equal">
      <formula>"Informacion incompleta"</formula>
    </cfRule>
    <cfRule type="cellIs" dxfId="15" priority="9" operator="equal">
      <formula>"Si cumplio"</formula>
    </cfRule>
  </conditionalFormatting>
  <conditionalFormatting sqref="G12:G17">
    <cfRule type="cellIs" dxfId="14" priority="4" operator="equal">
      <formula>"No cumplio"</formula>
    </cfRule>
    <cfRule type="cellIs" dxfId="13" priority="5" operator="equal">
      <formula>"Informacion incompleta"</formula>
    </cfRule>
    <cfRule type="cellIs" dxfId="12" priority="6" operator="equal">
      <formula>"Si cumplio"</formula>
    </cfRule>
  </conditionalFormatting>
  <hyperlinks>
    <hyperlink ref="A1" location="Main!A1" display="REGRESAR" xr:uid="{2E84A87F-62CC-47AF-8CFC-13FDF4639303}"/>
  </hyperlinks>
  <pageMargins left="0.7" right="0.7" top="0.75" bottom="0.75" header="0.3" footer="0.3"/>
  <pageSetup orientation="portrait" r:id="rId1"/>
  <ignoredErrors>
    <ignoredError sqref="C12:E17 H12:J17" calculatedColumn="1"/>
  </ignoredErrors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8621-4E4A-4FC4-82FD-B27B1C9EF2F8}">
  <sheetPr codeName="Sheet4"/>
  <dimension ref="A1:J21"/>
  <sheetViews>
    <sheetView workbookViewId="0">
      <selection activeCell="H12" sqref="H12:J17"/>
    </sheetView>
  </sheetViews>
  <sheetFormatPr defaultRowHeight="15" x14ac:dyDescent="0.25"/>
  <cols>
    <col min="1" max="1" width="13.7109375" bestFit="1" customWidth="1"/>
    <col min="2" max="2" width="11.28515625" customWidth="1"/>
    <col min="3" max="3" width="13.42578125" customWidth="1"/>
    <col min="4" max="4" width="13" customWidth="1"/>
    <col min="5" max="5" width="13.140625" customWidth="1"/>
    <col min="7" max="7" width="11.28515625" customWidth="1"/>
    <col min="8" max="8" width="16.85546875" customWidth="1"/>
    <col min="9" max="9" width="13.28515625" customWidth="1"/>
    <col min="10" max="10" width="15.42578125" customWidth="1"/>
  </cols>
  <sheetData>
    <row r="1" spans="1:10" ht="18.75" x14ac:dyDescent="0.3">
      <c r="A1" s="11" t="s">
        <v>56</v>
      </c>
    </row>
    <row r="11" spans="1:10" x14ac:dyDescent="0.25">
      <c r="B11" t="s">
        <v>87</v>
      </c>
      <c r="C11" t="s">
        <v>7</v>
      </c>
      <c r="D11" t="s">
        <v>57</v>
      </c>
      <c r="E11" t="s">
        <v>10</v>
      </c>
      <c r="G11" t="s">
        <v>87</v>
      </c>
      <c r="H11" s="28" t="s">
        <v>38</v>
      </c>
      <c r="I11" s="28" t="s">
        <v>39</v>
      </c>
      <c r="J11" t="s">
        <v>58</v>
      </c>
    </row>
    <row r="12" spans="1:10" x14ac:dyDescent="0.25">
      <c r="B12" s="4" t="s">
        <v>14</v>
      </c>
      <c r="C12">
        <f>COUNTIFS(Data!$D8:$AU8, $C$11,Data!$D$1:$AU$1, "&gt;=" &amp; Main!$I$10,Data!$D$1:$AU$1, "&lt;=" &amp; Main!$L$10)</f>
        <v>0</v>
      </c>
      <c r="D12">
        <f>COUNTIFS(Data!$D8:$AU8, $D$11,Data!$D$1:$AU$1, "&gt;=" &amp; Main!$I$10,Data!$D$1:$AU$1, "&lt;=" &amp; Main!$L$10)</f>
        <v>3</v>
      </c>
      <c r="E12">
        <f>COUNTIFS(Data!$D8:$AU8, $E$11,Data!$D$1:$AU$1, "&gt;=" &amp; Main!$I$10,Data!$D$1:$AU$1, "&lt;=" &amp; Main!$L$10)</f>
        <v>12</v>
      </c>
      <c r="G12" s="22" t="s">
        <v>14</v>
      </c>
      <c r="H12" s="19">
        <f>SUMIFS((Data!$D39:$AU39), Data!$D$31:$AU$31, H$11, Data!$D$32:$AU$32, "&gt;=" &amp; Main!$I$10, Data!$D$32:$AU$32, "&lt;=" &amp; Main!$L$10)</f>
        <v>15</v>
      </c>
      <c r="I12" s="19">
        <f>SUMIFS((Data!$D39:$AU39), Data!$D$31:$AU$31, I$11, Data!$D$32:$AU$32, "&gt;=" &amp; Main!$I$10, Data!$D$32:$AU$32, "&lt;=" &amp; Main!$L$10)</f>
        <v>6</v>
      </c>
      <c r="J12">
        <f>APU2Dif[[#This Row],[inventario total]]-APU2Dif[[#This Row],[diferencias]]</f>
        <v>9</v>
      </c>
    </row>
    <row r="13" spans="1:10" x14ac:dyDescent="0.25">
      <c r="B13" s="4" t="s">
        <v>16</v>
      </c>
      <c r="C13">
        <f>COUNTIFS(Data!$D9:$AU9, $C$11,Data!$D$1:$AU$1, "&gt;=" &amp; Main!$I$10,Data!$D$1:$AU$1, "&lt;=" &amp; Main!$L$10)</f>
        <v>0</v>
      </c>
      <c r="D13">
        <f>COUNTIFS(Data!$D9:$AU9, $D$11,Data!$D$1:$AU$1, "&gt;=" &amp; Main!$I$10,Data!$D$1:$AU$1, "&lt;=" &amp; Main!$L$10)</f>
        <v>3</v>
      </c>
      <c r="E13">
        <f>COUNTIFS(Data!$D9:$AU9, $E$11,Data!$D$1:$AU$1, "&gt;=" &amp; Main!$I$10,Data!$D$1:$AU$1, "&lt;=" &amp; Main!$L$10)</f>
        <v>12</v>
      </c>
      <c r="G13" s="22" t="s">
        <v>16</v>
      </c>
      <c r="H13" s="19">
        <f>SUMIFS((Data!$D40:$AU40), Data!$D$31:$AU$31, H$11, Data!$D$32:$AU$32, "&gt;=" &amp; Main!$I$10, Data!$D$32:$AU$32, "&lt;=" &amp; Main!$L$10)</f>
        <v>21</v>
      </c>
      <c r="I13" s="19">
        <f>SUMIFS((Data!$D40:$AU40), Data!$D$31:$AU$31, I$11, Data!$D$32:$AU$32, "&gt;=" &amp; Main!$I$10, Data!$D$32:$AU$32, "&lt;=" &amp; Main!$L$10)</f>
        <v>7</v>
      </c>
      <c r="J13">
        <f>APU2Dif[[#This Row],[inventario total]]-APU2Dif[[#This Row],[diferencias]]</f>
        <v>14</v>
      </c>
    </row>
    <row r="14" spans="1:10" x14ac:dyDescent="0.25">
      <c r="B14" s="4" t="s">
        <v>17</v>
      </c>
      <c r="C14">
        <f>COUNTIFS(Data!$D10:$AU10, $C$11,Data!$D$1:$AU$1, "&gt;=" &amp; Main!$I$10,Data!$D$1:$AU$1, "&lt;=" &amp; Main!$L$10)</f>
        <v>1</v>
      </c>
      <c r="D14">
        <f>COUNTIFS(Data!$D10:$AU10, $D$11,Data!$D$1:$AU$1, "&gt;=" &amp; Main!$I$10,Data!$D$1:$AU$1, "&lt;=" &amp; Main!$L$10)</f>
        <v>2</v>
      </c>
      <c r="E14">
        <f>COUNTIFS(Data!$D10:$AU10, $E$11,Data!$D$1:$AU$1, "&gt;=" &amp; Main!$I$10,Data!$D$1:$AU$1, "&lt;=" &amp; Main!$L$10)</f>
        <v>12</v>
      </c>
      <c r="G14" s="22" t="s">
        <v>17</v>
      </c>
      <c r="H14" s="19">
        <f>SUMIFS((Data!$D41:$AU41), Data!$D$31:$AU$31, H$11, Data!$D$32:$AU$32, "&gt;=" &amp; Main!$I$10, Data!$D$32:$AU$32, "&lt;=" &amp; Main!$L$10)</f>
        <v>15</v>
      </c>
      <c r="I14" s="19">
        <f>SUMIFS((Data!$D41:$AU41), Data!$D$31:$AU$31, I$11, Data!$D$32:$AU$32, "&gt;=" &amp; Main!$I$10, Data!$D$32:$AU$32, "&lt;=" &amp; Main!$L$10)</f>
        <v>5</v>
      </c>
      <c r="J14">
        <f>APU2Dif[[#This Row],[inventario total]]-APU2Dif[[#This Row],[diferencias]]</f>
        <v>10</v>
      </c>
    </row>
    <row r="15" spans="1:10" x14ac:dyDescent="0.25">
      <c r="B15" s="4" t="s">
        <v>18</v>
      </c>
      <c r="C15">
        <f>COUNTIFS(Data!$D11:$AU11, $C$11,Data!$D$1:$AU$1, "&gt;=" &amp; Main!$I$10,Data!$D$1:$AU$1, "&lt;=" &amp; Main!$L$10)</f>
        <v>0</v>
      </c>
      <c r="D15">
        <f>COUNTIFS(Data!$D11:$AU11, $D$11,Data!$D$1:$AU$1, "&gt;=" &amp; Main!$I$10,Data!$D$1:$AU$1, "&lt;=" &amp; Main!$L$10)</f>
        <v>3</v>
      </c>
      <c r="E15">
        <f>COUNTIFS(Data!$D11:$AU11, $E$11,Data!$D$1:$AU$1, "&gt;=" &amp; Main!$I$10,Data!$D$1:$AU$1, "&lt;=" &amp; Main!$L$10)</f>
        <v>12</v>
      </c>
      <c r="G15" s="22" t="s">
        <v>18</v>
      </c>
      <c r="H15" s="19">
        <f>SUMIFS((Data!$D42:$AU42), Data!$D$31:$AU$31, H$11, Data!$D$32:$AU$32, "&gt;=" &amp; Main!$I$10, Data!$D$32:$AU$32, "&lt;=" &amp; Main!$L$10)</f>
        <v>10</v>
      </c>
      <c r="I15" s="19">
        <f>SUMIFS((Data!$D42:$AU42), Data!$D$31:$AU$31, I$11, Data!$D$32:$AU$32, "&gt;=" &amp; Main!$I$10, Data!$D$32:$AU$32, "&lt;=" &amp; Main!$L$10)</f>
        <v>4</v>
      </c>
      <c r="J15">
        <f>APU2Dif[[#This Row],[inventario total]]-APU2Dif[[#This Row],[diferencias]]</f>
        <v>6</v>
      </c>
    </row>
    <row r="16" spans="1:10" x14ac:dyDescent="0.25">
      <c r="B16" s="4" t="s">
        <v>19</v>
      </c>
      <c r="C16">
        <f>COUNTIFS(Data!$D12:$AU12, $C$11,Data!$D$1:$AU$1, "&gt;=" &amp; Main!$I$10,Data!$D$1:$AU$1, "&lt;=" &amp; Main!$L$10)</f>
        <v>2</v>
      </c>
      <c r="D16">
        <f>COUNTIFS(Data!$D12:$AU12, $D$11,Data!$D$1:$AU$1, "&gt;=" &amp; Main!$I$10,Data!$D$1:$AU$1, "&lt;=" &amp; Main!$L$10)</f>
        <v>1</v>
      </c>
      <c r="E16">
        <f>COUNTIFS(Data!$D12:$AU12, $E$11,Data!$D$1:$AU$1, "&gt;=" &amp; Main!$I$10,Data!$D$1:$AU$1, "&lt;=" &amp; Main!$L$10)</f>
        <v>12</v>
      </c>
      <c r="G16" s="22" t="s">
        <v>19</v>
      </c>
      <c r="H16" s="19">
        <f>SUMIFS((Data!$D43:$AU43), Data!$D$31:$AU$31, H$11, Data!$D$32:$AU$32, "&gt;=" &amp; Main!$I$10, Data!$D$32:$AU$32, "&lt;=" &amp; Main!$L$10)</f>
        <v>13</v>
      </c>
      <c r="I16" s="19">
        <f>SUMIFS((Data!$D43:$AU43), Data!$D$31:$AU$31, I$11, Data!$D$32:$AU$32, "&gt;=" &amp; Main!$I$10, Data!$D$32:$AU$32, "&lt;=" &amp; Main!$L$10)</f>
        <v>13</v>
      </c>
      <c r="J16">
        <f>APU2Dif[[#This Row],[inventario total]]-APU2Dif[[#This Row],[diferencias]]</f>
        <v>0</v>
      </c>
    </row>
    <row r="17" spans="2:10" x14ac:dyDescent="0.25">
      <c r="B17" s="4" t="s">
        <v>20</v>
      </c>
      <c r="C17">
        <f>COUNTIFS(Data!$D13:$AU13, $C$11,Data!$D$1:$AU$1, "&gt;=" &amp; Main!$I$10,Data!$D$1:$AU$1, "&lt;=" &amp; Main!$L$10)</f>
        <v>1</v>
      </c>
      <c r="D17">
        <f>COUNTIFS(Data!$D13:$AU13, $D$11,Data!$D$1:$AU$1, "&gt;=" &amp; Main!$I$10,Data!$D$1:$AU$1, "&lt;=" &amp; Main!$L$10)</f>
        <v>1</v>
      </c>
      <c r="E17">
        <f>COUNTIFS(Data!$D13:$AU13, $E$11,Data!$D$1:$AU$1, "&gt;=" &amp; Main!$I$10,Data!$D$1:$AU$1, "&lt;=" &amp; Main!$L$10)</f>
        <v>13</v>
      </c>
      <c r="G17" s="22" t="s">
        <v>20</v>
      </c>
      <c r="H17" s="19">
        <f>SUMIFS((Data!$D44:$AU44), Data!$D$31:$AU$31, H$11, Data!$D$32:$AU$32, "&gt;=" &amp; Main!$I$10, Data!$D$32:$AU$32, "&lt;=" &amp; Main!$L$10)</f>
        <v>2</v>
      </c>
      <c r="I17" s="19">
        <f>SUMIFS((Data!$D44:$AU44), Data!$D$31:$AU$31, I$11, Data!$D$32:$AU$32, "&gt;=" &amp; Main!$I$10, Data!$D$32:$AU$32, "&lt;=" &amp; Main!$L$10)</f>
        <v>1</v>
      </c>
      <c r="J17">
        <f>APU2Dif[[#This Row],[inventario total]]-APU2Dif[[#This Row],[diferencias]]</f>
        <v>1</v>
      </c>
    </row>
    <row r="18" spans="2:10" x14ac:dyDescent="0.25">
      <c r="B18" s="9" t="s">
        <v>54</v>
      </c>
      <c r="C18">
        <f>SUM(APU2Cont[No cumplio])</f>
        <v>4</v>
      </c>
      <c r="D18">
        <f>SUM(APU2Cont[Si Cumplio])</f>
        <v>13</v>
      </c>
      <c r="E18">
        <f>SUM(APU2Cont[Sin Conteo])</f>
        <v>73</v>
      </c>
      <c r="H18" s="30">
        <f>SUM(H12:H17)</f>
        <v>76</v>
      </c>
      <c r="I18" s="30">
        <f>SUM(I12:I17)</f>
        <v>36</v>
      </c>
      <c r="J18" s="30">
        <f>H18-I18</f>
        <v>40</v>
      </c>
    </row>
    <row r="19" spans="2:10" x14ac:dyDescent="0.25">
      <c r="H19" s="30"/>
      <c r="I19" s="31">
        <f>IFERROR((I18/H18),0)</f>
        <v>0.47368421052631576</v>
      </c>
      <c r="J19" s="31">
        <f>IFERROR((J18/H18),0)</f>
        <v>0.52631578947368418</v>
      </c>
    </row>
    <row r="21" spans="2:10" x14ac:dyDescent="0.25">
      <c r="B21" t="str" cm="1" vm="3">
        <f t="array" ref="B21">_xlfn._xlws.PY(0,1,APU2Cont[#All])</f>
        <v>[
 {
  "Linea": "AFC",
  "No cumplio": 0,
  "Si Cumplio": 3,
  "Sin Conteo": 12
 },
 {
  "Linea": "DA",
  "No cumplio": 0,
  "Si Cumplio": 3,
  "Sin Conteo": 12
 },
 {
  "Linea": "KITS",
  "No cumplio": 1,
  "Si Cumplio": 2,
  "Sin Conteo": 12
 },
 {
  "Linea": "PLENUM",
  "No cumplio": 0,
  "Si Cumplio": 3,
  "Sin Conteo": 12
 },
 {
  "Linea": "PRE",
  "No cumplio": 2,
  "Si Cumplio": 1,
  "Sin Conteo": 12
 },
 {
  "Linea": "XDU100",
  "No cumplio": 1,
  "Si Cumplio": 1,
  "Sin Conteo": 13
 },
 {
  "Linea": "Total",
  "No cumplio": 4,
  "Si Cumplio": 13,
  "Sin Conteo": 73
 }
]</v>
      </c>
    </row>
  </sheetData>
  <conditionalFormatting sqref="B12:B17">
    <cfRule type="cellIs" dxfId="11" priority="4" operator="equal">
      <formula>"No cumplio"</formula>
    </cfRule>
    <cfRule type="cellIs" dxfId="10" priority="5" operator="equal">
      <formula>"Informacion incompleta"</formula>
    </cfRule>
    <cfRule type="cellIs" dxfId="9" priority="6" operator="equal">
      <formula>"Si cumplio"</formula>
    </cfRule>
  </conditionalFormatting>
  <conditionalFormatting sqref="G12:G17">
    <cfRule type="cellIs" dxfId="8" priority="1" operator="equal">
      <formula>"No cumplio"</formula>
    </cfRule>
    <cfRule type="cellIs" dxfId="7" priority="2" operator="equal">
      <formula>"Informacion incompleta"</formula>
    </cfRule>
    <cfRule type="cellIs" dxfId="6" priority="3" operator="equal">
      <formula>"Si cumplio"</formula>
    </cfRule>
  </conditionalFormatting>
  <hyperlinks>
    <hyperlink ref="A1" location="Main!A1" display="REGRESAR" xr:uid="{FB6711ED-3EDF-480F-9F16-3D1B541CC9B3}"/>
  </hyperlinks>
  <pageMargins left="0.7" right="0.7" top="0.75" bottom="0.75" header="0.3" footer="0.3"/>
  <pageSetup orientation="portrait" r:id="rId1"/>
  <ignoredErrors>
    <ignoredError sqref="C12:E17 J16 J15 J14 J13 J12 J17 H16:I16 H17:I17 H12:I12 H13:I13 H14:I14 H15:I15" calculatedColumn="1"/>
  </ignoredErrors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B294-839B-495B-8A0C-B7DAA1D48A98}">
  <sheetPr codeName="Sheet5"/>
  <dimension ref="A1:J22"/>
  <sheetViews>
    <sheetView workbookViewId="0">
      <selection activeCell="H12" sqref="H12:I18"/>
    </sheetView>
  </sheetViews>
  <sheetFormatPr defaultRowHeight="15" x14ac:dyDescent="0.25"/>
  <cols>
    <col min="1" max="1" width="13.7109375" bestFit="1" customWidth="1"/>
    <col min="2" max="2" width="11.28515625" customWidth="1"/>
    <col min="3" max="3" width="13.42578125" customWidth="1"/>
    <col min="4" max="4" width="13" customWidth="1"/>
    <col min="5" max="5" width="13.140625" customWidth="1"/>
    <col min="7" max="7" width="11.28515625" customWidth="1"/>
    <col min="8" max="8" width="16.85546875" customWidth="1"/>
    <col min="9" max="9" width="13.28515625" customWidth="1"/>
    <col min="10" max="10" width="16.42578125" customWidth="1"/>
  </cols>
  <sheetData>
    <row r="1" spans="1:10" ht="18.75" x14ac:dyDescent="0.3">
      <c r="A1" s="11" t="s">
        <v>56</v>
      </c>
    </row>
    <row r="11" spans="1:10" x14ac:dyDescent="0.25">
      <c r="B11" t="s">
        <v>87</v>
      </c>
      <c r="C11" t="s">
        <v>7</v>
      </c>
      <c r="D11" t="s">
        <v>57</v>
      </c>
      <c r="E11" t="s">
        <v>10</v>
      </c>
      <c r="G11" t="s">
        <v>87</v>
      </c>
      <c r="H11" s="28" t="s">
        <v>38</v>
      </c>
      <c r="I11" s="28" t="s">
        <v>39</v>
      </c>
      <c r="J11" t="s">
        <v>59</v>
      </c>
    </row>
    <row r="12" spans="1:10" x14ac:dyDescent="0.25">
      <c r="B12" s="3" t="s">
        <v>21</v>
      </c>
      <c r="C12">
        <f>COUNTIFS(Data!$D14:$AU14, C$11,Data!$D$1:$AU$1, "&gt;=" &amp; Main!$I$10,Data!$D$1:$AU$1, "&lt;=" &amp; Main!$L$10)</f>
        <v>0</v>
      </c>
      <c r="D12">
        <f>COUNTIFS(Data!$D14:$AU14, D$11,Data!$D$1:$AU$1, "&gt;=" &amp; Main!$I$10,Data!$D$1:$AU$1, "&lt;=" &amp; Main!$L$10)</f>
        <v>2</v>
      </c>
      <c r="E12">
        <f>COUNTIFS(Data!$D14:$AU14, E$11,Data!$D$1:$AU$1, "&gt;=" &amp; Main!$I$10,Data!$D$1:$AU$1, "&lt;=" &amp; Main!$L$10)</f>
        <v>13</v>
      </c>
      <c r="G12" s="23" t="s">
        <v>21</v>
      </c>
      <c r="H12" s="19">
        <f>SUMIFS((Data!$D45:$AU45), Data!$D$31:$AU$31, H$11, Data!D$32:$AU$32, "&gt;=" &amp; Main!$I$10, Data!D$32:$AU$32, "&lt;=" &amp; Main!$L$10)</f>
        <v>3</v>
      </c>
      <c r="I12" s="19">
        <f>SUMIFS((Data!$D45:$AU45), Data!$D$31:$AU$31, I$11, Data!$D$32:$AU$32, "&gt;=" &amp; Main!$I$10, Data!$D$32:$AU$32, "&lt;=" &amp; Main!$L$10)</f>
        <v>3</v>
      </c>
      <c r="J12">
        <f>APU3Dif[[#This Row],[inventario total]]-APU3Dif[[#This Row],[diferencias]]</f>
        <v>0</v>
      </c>
    </row>
    <row r="13" spans="1:10" x14ac:dyDescent="0.25">
      <c r="B13" s="3" t="s">
        <v>23</v>
      </c>
      <c r="C13">
        <f>COUNTIFS(Data!$D15:$AU15, C$11,Data!$D$1:$AU$1, "&gt;=" &amp; Main!$I$10,Data!$D$1:$AU$1, "&lt;=" &amp; Main!$L$10)</f>
        <v>3</v>
      </c>
      <c r="D13">
        <f>COUNTIFS(Data!$D15:$AU15, D$11,Data!$D$1:$AU$1, "&gt;=" &amp; Main!$I$10,Data!$D$1:$AU$1, "&lt;=" &amp; Main!$L$10)</f>
        <v>0</v>
      </c>
      <c r="E13">
        <f>COUNTIFS(Data!$D15:$AU15, E$11,Data!$D$1:$AU$1, "&gt;=" &amp; Main!$I$10,Data!$D$1:$AU$1, "&lt;=" &amp; Main!$L$10)</f>
        <v>12</v>
      </c>
      <c r="G13" s="23" t="s">
        <v>23</v>
      </c>
      <c r="H13" s="19">
        <f>SUMIFS((Data!$D46:$AU46), Data!$D$31:$AU$31, H$11, Data!D$32:$AU$32, "&gt;=" &amp; Main!$I$10, Data!D$32:$AU$32, "&lt;=" &amp; Main!$L$10)</f>
        <v>100</v>
      </c>
      <c r="I13" s="19">
        <f>SUMIFS((Data!$D46:$AU46), Data!$D$31:$AU$31, I$11, Data!$D$32:$AU$32, "&gt;=" &amp; Main!$I$10, Data!$D$32:$AU$32, "&lt;=" &amp; Main!$L$10)</f>
        <v>75</v>
      </c>
      <c r="J13">
        <f>APU3Dif[[#This Row],[inventario total]]-APU3Dif[[#This Row],[diferencias]]</f>
        <v>25</v>
      </c>
    </row>
    <row r="14" spans="1:10" x14ac:dyDescent="0.25">
      <c r="B14" s="3" t="s">
        <v>24</v>
      </c>
      <c r="C14">
        <f>COUNTIFS(Data!$D16:$AU16, C$11,Data!$D$1:$AU$1, "&gt;=" &amp; Main!$I$10,Data!$D$1:$AU$1, "&lt;=" &amp; Main!$L$10)</f>
        <v>3</v>
      </c>
      <c r="D14">
        <f>COUNTIFS(Data!$D16:$AU16, D$11,Data!$D$1:$AU$1, "&gt;=" &amp; Main!$I$10,Data!$D$1:$AU$1, "&lt;=" &amp; Main!$L$10)</f>
        <v>0</v>
      </c>
      <c r="E14">
        <f>COUNTIFS(Data!$D16:$AU16, E$11,Data!$D$1:$AU$1, "&gt;=" &amp; Main!$I$10,Data!$D$1:$AU$1, "&lt;=" &amp; Main!$L$10)</f>
        <v>12</v>
      </c>
      <c r="G14" s="23" t="s">
        <v>24</v>
      </c>
      <c r="H14" s="19">
        <f>SUMIFS((Data!$D47:$AU47), Data!$D$31:$AU$31, H$11, Data!D$32:$AU$32, "&gt;=" &amp; Main!$I$10, Data!D$32:$AU$32, "&lt;=" &amp; Main!$L$10)</f>
        <v>8</v>
      </c>
      <c r="I14" s="19">
        <f>SUMIFS((Data!$D47:$AU47), Data!$D$31:$AU$31, I$11, Data!$D$32:$AU$32, "&gt;=" &amp; Main!$I$10, Data!$D$32:$AU$32, "&lt;=" &amp; Main!$L$10)</f>
        <v>8</v>
      </c>
      <c r="J14">
        <f>APU3Dif[[#This Row],[inventario total]]-APU3Dif[[#This Row],[diferencias]]</f>
        <v>0</v>
      </c>
    </row>
    <row r="15" spans="1:10" x14ac:dyDescent="0.25">
      <c r="B15" s="3" t="s">
        <v>25</v>
      </c>
      <c r="C15">
        <f>COUNTIFS(Data!$D17:$AU17, C$11,Data!$D$1:$AU$1, "&gt;=" &amp; Main!$I$10,Data!$D$1:$AU$1, "&lt;=" &amp; Main!$L$10)</f>
        <v>0</v>
      </c>
      <c r="D15">
        <f>COUNTIFS(Data!$D17:$AU17, D$11,Data!$D$1:$AU$1, "&gt;=" &amp; Main!$I$10,Data!$D$1:$AU$1, "&lt;=" &amp; Main!$L$10)</f>
        <v>0</v>
      </c>
      <c r="E15">
        <f>COUNTIFS(Data!$D17:$AU17, E$11,Data!$D$1:$AU$1, "&gt;=" &amp; Main!$I$10,Data!$D$1:$AU$1, "&lt;=" &amp; Main!$L$10)</f>
        <v>15</v>
      </c>
      <c r="G15" s="23" t="s">
        <v>25</v>
      </c>
      <c r="H15" s="19">
        <f>SUMIFS((Data!$D48:$AU48), Data!$D$31:$AU$31, H$11, Data!D$32:$AU$32, "&gt;=" &amp; Main!$I$10, Data!D$32:$AU$32, "&lt;=" &amp; Main!$L$10)</f>
        <v>0</v>
      </c>
      <c r="I15" s="19">
        <f>SUMIFS((Data!$D48:$AU48), Data!$D$31:$AU$31, I$11, Data!$D$32:$AU$32, "&gt;=" &amp; Main!$I$10, Data!$D$32:$AU$32, "&lt;=" &amp; Main!$L$10)</f>
        <v>0</v>
      </c>
      <c r="J15">
        <f>APU3Dif[[#This Row],[inventario total]]-APU3Dif[[#This Row],[diferencias]]</f>
        <v>0</v>
      </c>
    </row>
    <row r="16" spans="1:10" x14ac:dyDescent="0.25">
      <c r="B16" s="3" t="s">
        <v>26</v>
      </c>
      <c r="C16">
        <f>COUNTIFS(Data!$D18:$AU18, C$11,Data!$D$1:$AU$1, "&gt;=" &amp; Main!$I$10,Data!$D$1:$AU$1, "&lt;=" &amp; Main!$L$10)</f>
        <v>0</v>
      </c>
      <c r="D16">
        <f>COUNTIFS(Data!$D18:$AU18, D$11,Data!$D$1:$AU$1, "&gt;=" &amp; Main!$I$10,Data!$D$1:$AU$1, "&lt;=" &amp; Main!$L$10)</f>
        <v>3</v>
      </c>
      <c r="E16">
        <f>COUNTIFS(Data!$D18:$AU18, E$11,Data!$D$1:$AU$1, "&gt;=" &amp; Main!$I$10,Data!$D$1:$AU$1, "&lt;=" &amp; Main!$L$10)</f>
        <v>12</v>
      </c>
      <c r="G16" s="23" t="s">
        <v>26</v>
      </c>
      <c r="H16" s="19">
        <f>SUMIFS((Data!$D49:$AU49), Data!$D$31:$AU$31, H$11, Data!D$32:$AU$32, "&gt;=" &amp; Main!$I$10, Data!D$32:$AU$32, "&lt;=" &amp; Main!$L$10)</f>
        <v>9</v>
      </c>
      <c r="I16" s="19">
        <f>SUMIFS((Data!$D49:$AU49), Data!$D$31:$AU$31, I$11, Data!$D$32:$AU$32, "&gt;=" &amp; Main!$I$10, Data!$D$32:$AU$32, "&lt;=" &amp; Main!$L$10)</f>
        <v>4</v>
      </c>
      <c r="J16">
        <f>APU3Dif[[#This Row],[inventario total]]-APU3Dif[[#This Row],[diferencias]]</f>
        <v>5</v>
      </c>
    </row>
    <row r="17" spans="2:10" x14ac:dyDescent="0.25">
      <c r="B17" s="3" t="s">
        <v>27</v>
      </c>
      <c r="C17">
        <f>COUNTIFS(Data!$D19:$AU19, C$11,Data!$D$1:$AU$1, "&gt;=" &amp; Main!$I$10,Data!$D$1:$AU$1, "&lt;=" &amp; Main!$L$10)</f>
        <v>0</v>
      </c>
      <c r="D17">
        <f>COUNTIFS(Data!$D19:$AU19, D$11,Data!$D$1:$AU$1, "&gt;=" &amp; Main!$I$10,Data!$D$1:$AU$1, "&lt;=" &amp; Main!$L$10)</f>
        <v>2</v>
      </c>
      <c r="E17">
        <f>COUNTIFS(Data!$D19:$AU19, E$11,Data!$D$1:$AU$1, "&gt;=" &amp; Main!$I$10,Data!$D$1:$AU$1, "&lt;=" &amp; Main!$L$10)</f>
        <v>13</v>
      </c>
      <c r="G17" s="23" t="s">
        <v>27</v>
      </c>
      <c r="H17" s="19">
        <f>SUMIFS((Data!$D50:$AU50), Data!$D$31:$AU$31, H$11, Data!D$32:$AU$32, "&gt;=" &amp; Main!$I$10, Data!D$32:$AU$32, "&lt;=" &amp; Main!$L$10)</f>
        <v>2</v>
      </c>
      <c r="I17" s="19">
        <f>SUMIFS((Data!$D50:$AU50), Data!$D$31:$AU$31, I$11, Data!$D$32:$AU$32, "&gt;=" &amp; Main!$I$10, Data!$D$32:$AU$32, "&lt;=" &amp; Main!$L$10)</f>
        <v>2</v>
      </c>
      <c r="J17">
        <f>APU3Dif[[#This Row],[inventario total]]-APU3Dif[[#This Row],[diferencias]]</f>
        <v>0</v>
      </c>
    </row>
    <row r="18" spans="2:10" x14ac:dyDescent="0.25">
      <c r="B18" s="10" t="s">
        <v>28</v>
      </c>
      <c r="C18">
        <f>COUNTIFS(Data!$D20:$AU20, C$11,Data!$D$1:$AU$1, "&gt;=" &amp; Main!$I$10,Data!$D$1:$AU$1, "&lt;=" &amp; Main!$L$10)</f>
        <v>3</v>
      </c>
      <c r="D18">
        <f>COUNTIFS(Data!$D20:$AU20, D$11,Data!$D$1:$AU$1, "&gt;=" &amp; Main!$I$10,Data!$D$1:$AU$1, "&lt;=" &amp; Main!$L$10)</f>
        <v>0</v>
      </c>
      <c r="E18">
        <f>COUNTIFS(Data!$D20:$AU20, E$11,Data!$D$1:$AU$1, "&gt;=" &amp; Main!$I$10,Data!$D$1:$AU$1, "&lt;=" &amp; Main!$L$10)</f>
        <v>12</v>
      </c>
      <c r="G18" s="23" t="s">
        <v>28</v>
      </c>
      <c r="H18" s="19">
        <f>SUMIFS((Data!$D51:$AU51), Data!$D$31:$AU$31, H$11, Data!D$32:$AU$32, "&gt;=" &amp; Main!$I$10, Data!D$32:$AU$32, "&lt;=" &amp; Main!$L$10)</f>
        <v>67</v>
      </c>
      <c r="I18" s="19">
        <f>SUMIFS((Data!$D51:$AU51), Data!$D$31:$AU$31, I$11, Data!$D$32:$AU$32, "&gt;=" &amp; Main!$I$10, Data!$D$32:$AU$32, "&lt;=" &amp; Main!$L$10)</f>
        <v>67</v>
      </c>
      <c r="J18">
        <f>APU3Dif[[#This Row],[inventario total]]-APU3Dif[[#This Row],[diferencias]]</f>
        <v>0</v>
      </c>
    </row>
    <row r="19" spans="2:10" x14ac:dyDescent="0.25">
      <c r="B19" s="10" t="s">
        <v>54</v>
      </c>
      <c r="C19">
        <f>SUM(APU3Cont[No cumplio])</f>
        <v>9</v>
      </c>
      <c r="D19">
        <f>SUM(APU3Cont[Si Cumplio])</f>
        <v>7</v>
      </c>
      <c r="E19">
        <f>SUM(APU3Cont[Sin Conteo])</f>
        <v>89</v>
      </c>
      <c r="H19" s="30">
        <f>SUM(H12:H18)</f>
        <v>189</v>
      </c>
      <c r="I19" s="30">
        <f>SUM(I12:I18)</f>
        <v>159</v>
      </c>
      <c r="J19" s="30">
        <f>H19-I19</f>
        <v>30</v>
      </c>
    </row>
    <row r="20" spans="2:10" x14ac:dyDescent="0.25">
      <c r="H20" s="30"/>
      <c r="I20" s="31">
        <f>IFERROR((I19/H19),0)</f>
        <v>0.84126984126984128</v>
      </c>
      <c r="J20" s="31">
        <f>IFERROR((J19/H19),0)</f>
        <v>0.15873015873015872</v>
      </c>
    </row>
    <row r="22" spans="2:10" x14ac:dyDescent="0.25">
      <c r="B22" t="str" cm="1" vm="4">
        <f t="array" ref="B22">_xlfn._xlws.PY(0,1,APU3Cont[#All])</f>
        <v>[
 {
  "Linea": "COILS",
  "No cumplio": 0,
  "Si Cumplio": 2,
  "Sin Conteo": 13
 },
 {
  "Linea": "EP",
  "No cumplio": 3,
  "Si Cumplio": 0,
  "Sin Conteo": 12
 },
 {
  "Linea": "PIPING",
  "No cumplio": 3,
  "Si Cumplio": 0,
  "Sin Conteo": 12
 },
 {
  "Linea": "SM",
  "No cumplio": 0,
  "Si Cumplio": 0,
  "Sin Conteo": 15
 },
 {
  "Linea": "XDM",
  "No cumplio": 0,
  "Si Cumplio": 3,
  "Sin Conteo": 12
 },
 {
  "Linea": "XDU",
  "No cumplio": 0,
  "Si Cumplio": 2,
  "Sin Conteo": 13
 },
 {
  "Linea": "MC",
  "No cumplio": 3,
  "Si Cumplio": 0,
  "Sin Conteo": 12
 },
 {
  "Linea": "Total",
  "No cumplio": 9,
  "Si Cumplio": 7,
  "Sin Conteo": 89
 }
]</v>
      </c>
    </row>
  </sheetData>
  <conditionalFormatting sqref="B12:B17">
    <cfRule type="cellIs" dxfId="5" priority="4" operator="equal">
      <formula>"No cumplio"</formula>
    </cfRule>
    <cfRule type="cellIs" dxfId="4" priority="5" operator="equal">
      <formula>"Informacion incompleta"</formula>
    </cfRule>
    <cfRule type="cellIs" dxfId="3" priority="6" operator="equal">
      <formula>"Si cumplio"</formula>
    </cfRule>
  </conditionalFormatting>
  <conditionalFormatting sqref="G12:G16">
    <cfRule type="cellIs" dxfId="2" priority="1" operator="equal">
      <formula>"No cumplio"</formula>
    </cfRule>
    <cfRule type="cellIs" dxfId="1" priority="2" operator="equal">
      <formula>"Informacion incompleta"</formula>
    </cfRule>
    <cfRule type="cellIs" dxfId="0" priority="3" operator="equal">
      <formula>"Si cumplio"</formula>
    </cfRule>
  </conditionalFormatting>
  <hyperlinks>
    <hyperlink ref="A1" location="Main!A1" display="REGRESAR" xr:uid="{E632B611-ECC2-4CC7-A06C-1F7E635B01D2}"/>
  </hyperlinks>
  <pageMargins left="0.7" right="0.7" top="0.75" bottom="0.75" header="0.3" footer="0.3"/>
  <pageSetup orientation="portrait" r:id="rId1"/>
  <ignoredErrors>
    <ignoredError sqref="J18 J12 J13 J14 J15 J16 J17 C12:E18 H12:I18" calculatedColumn="1"/>
  </ignoredErrors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EF05-9412-4292-8103-5690ABDCF67E}">
  <sheetPr codeName="Sheet6"/>
  <dimension ref="A2:K56"/>
  <sheetViews>
    <sheetView workbookViewId="0">
      <selection activeCell="D3" sqref="D3"/>
    </sheetView>
  </sheetViews>
  <sheetFormatPr defaultRowHeight="15" x14ac:dyDescent="0.25"/>
  <cols>
    <col min="1" max="1" width="10.28515625" customWidth="1"/>
    <col min="2" max="3" width="11.28515625" bestFit="1" customWidth="1"/>
    <col min="4" max="4" width="12.28515625" customWidth="1"/>
    <col min="5" max="5" width="12.42578125" customWidth="1"/>
    <col min="7" max="7" width="10.42578125" bestFit="1" customWidth="1"/>
    <col min="8" max="9" width="11.28515625" bestFit="1" customWidth="1"/>
    <col min="10" max="10" width="12" bestFit="1" customWidth="1"/>
    <col min="11" max="11" width="11.28515625" bestFit="1" customWidth="1"/>
  </cols>
  <sheetData>
    <row r="2" spans="1:11" x14ac:dyDescent="0.25">
      <c r="A2" s="14" t="s">
        <v>60</v>
      </c>
      <c r="B2" s="14" t="s">
        <v>61</v>
      </c>
      <c r="C2" s="14" t="s">
        <v>62</v>
      </c>
      <c r="D2" s="14" t="s">
        <v>63</v>
      </c>
      <c r="E2" s="14" t="s">
        <v>64</v>
      </c>
      <c r="G2" s="14" t="s">
        <v>60</v>
      </c>
      <c r="H2" s="14" t="s">
        <v>61</v>
      </c>
      <c r="I2" s="14" t="s">
        <v>62</v>
      </c>
      <c r="J2" s="14" t="s">
        <v>63</v>
      </c>
      <c r="K2" s="14" t="s">
        <v>64</v>
      </c>
    </row>
    <row r="3" spans="1:11" x14ac:dyDescent="0.25">
      <c r="A3" s="14" t="s">
        <v>65</v>
      </c>
      <c r="B3" s="27">
        <f>B4</f>
        <v>46020</v>
      </c>
      <c r="C3" s="27">
        <f>C8</f>
        <v>46054</v>
      </c>
      <c r="D3" s="27">
        <f>D4</f>
        <v>46023</v>
      </c>
      <c r="E3" s="27">
        <f>E8</f>
        <v>46052</v>
      </c>
      <c r="G3" s="14" t="s">
        <v>65</v>
      </c>
      <c r="H3" s="27">
        <f>H4</f>
        <v>46020</v>
      </c>
      <c r="I3" s="27">
        <f>I56</f>
        <v>46390</v>
      </c>
      <c r="J3" s="6">
        <v>45870</v>
      </c>
      <c r="K3" s="1">
        <v>45898</v>
      </c>
    </row>
    <row r="4" spans="1:11" x14ac:dyDescent="0.25">
      <c r="A4" s="26">
        <v>1</v>
      </c>
      <c r="B4" s="27">
        <v>46020</v>
      </c>
      <c r="C4" s="27">
        <v>46026</v>
      </c>
      <c r="D4" s="36">
        <v>46023</v>
      </c>
      <c r="E4" s="36">
        <v>46054</v>
      </c>
      <c r="G4" s="26">
        <v>1</v>
      </c>
      <c r="H4" s="27">
        <v>46020</v>
      </c>
      <c r="I4" s="27">
        <v>46026</v>
      </c>
      <c r="J4" s="6">
        <v>46023</v>
      </c>
      <c r="K4" s="6">
        <v>46054</v>
      </c>
    </row>
    <row r="5" spans="1:11" x14ac:dyDescent="0.25">
      <c r="A5" s="26">
        <v>2</v>
      </c>
      <c r="B5" s="27">
        <v>46027</v>
      </c>
      <c r="C5" s="27">
        <v>46033</v>
      </c>
      <c r="D5" s="36">
        <v>46027</v>
      </c>
      <c r="E5" s="36">
        <v>46031</v>
      </c>
      <c r="G5" s="26">
        <v>2</v>
      </c>
      <c r="H5" s="27">
        <v>46027</v>
      </c>
      <c r="I5" s="27">
        <v>46033</v>
      </c>
      <c r="J5" s="27">
        <v>46027</v>
      </c>
      <c r="K5" s="6">
        <v>46031</v>
      </c>
    </row>
    <row r="6" spans="1:11" x14ac:dyDescent="0.25">
      <c r="A6" s="26">
        <v>3</v>
      </c>
      <c r="B6" s="27">
        <v>46034</v>
      </c>
      <c r="C6" s="27">
        <v>46040</v>
      </c>
      <c r="D6" s="36">
        <v>46034</v>
      </c>
      <c r="E6" s="36">
        <v>46038</v>
      </c>
      <c r="G6" s="26">
        <v>3</v>
      </c>
      <c r="H6" s="27">
        <v>46034</v>
      </c>
      <c r="I6" s="27">
        <v>46040</v>
      </c>
      <c r="J6" s="27">
        <v>46034</v>
      </c>
      <c r="K6" s="27">
        <v>46038</v>
      </c>
    </row>
    <row r="7" spans="1:11" x14ac:dyDescent="0.25">
      <c r="A7" s="26">
        <v>4</v>
      </c>
      <c r="B7" s="27">
        <v>46041</v>
      </c>
      <c r="C7" s="27">
        <v>46047</v>
      </c>
      <c r="D7" s="36">
        <v>46041</v>
      </c>
      <c r="E7" s="36">
        <v>46045</v>
      </c>
      <c r="G7" s="26">
        <v>4</v>
      </c>
      <c r="H7" s="27">
        <v>46041</v>
      </c>
      <c r="I7" s="27">
        <v>46047</v>
      </c>
      <c r="J7" s="27">
        <v>46041</v>
      </c>
      <c r="K7" s="6">
        <v>46045</v>
      </c>
    </row>
    <row r="8" spans="1:11" x14ac:dyDescent="0.25">
      <c r="A8" s="26">
        <v>5</v>
      </c>
      <c r="B8" s="27">
        <v>46048</v>
      </c>
      <c r="C8" s="27">
        <v>46054</v>
      </c>
      <c r="D8" s="36">
        <v>46048</v>
      </c>
      <c r="E8" s="36">
        <v>46052</v>
      </c>
      <c r="G8" s="26">
        <v>5</v>
      </c>
      <c r="H8" s="27">
        <v>46048</v>
      </c>
      <c r="I8" s="27">
        <v>46054</v>
      </c>
      <c r="J8" s="27">
        <v>46048</v>
      </c>
      <c r="K8" s="6">
        <v>46052</v>
      </c>
    </row>
    <row r="9" spans="1:11" x14ac:dyDescent="0.25">
      <c r="G9" s="26">
        <v>6</v>
      </c>
      <c r="H9" s="27">
        <v>46055</v>
      </c>
      <c r="I9" s="27">
        <v>46061</v>
      </c>
      <c r="J9" s="27">
        <v>46055</v>
      </c>
      <c r="K9" s="27">
        <v>46059</v>
      </c>
    </row>
    <row r="10" spans="1:11" x14ac:dyDescent="0.25">
      <c r="G10" s="26">
        <v>7</v>
      </c>
      <c r="H10" s="27">
        <v>46062</v>
      </c>
      <c r="I10" s="27">
        <v>46068</v>
      </c>
      <c r="J10" s="27">
        <v>46062</v>
      </c>
      <c r="K10" s="6">
        <v>46066</v>
      </c>
    </row>
    <row r="11" spans="1:11" x14ac:dyDescent="0.25">
      <c r="G11" s="26">
        <v>8</v>
      </c>
      <c r="H11" s="27">
        <v>46069</v>
      </c>
      <c r="I11" s="27">
        <v>46075</v>
      </c>
      <c r="J11" s="27">
        <v>46069</v>
      </c>
      <c r="K11" s="6">
        <v>46073</v>
      </c>
    </row>
    <row r="12" spans="1:11" x14ac:dyDescent="0.25">
      <c r="G12" s="26">
        <v>9</v>
      </c>
      <c r="H12" s="27">
        <v>46076</v>
      </c>
      <c r="I12" s="27">
        <v>46082</v>
      </c>
      <c r="J12" s="27">
        <v>46076</v>
      </c>
      <c r="K12" s="27">
        <v>46080</v>
      </c>
    </row>
    <row r="13" spans="1:11" x14ac:dyDescent="0.25">
      <c r="G13" s="26">
        <v>10</v>
      </c>
      <c r="H13" s="27">
        <v>46083</v>
      </c>
      <c r="I13" s="27">
        <v>46089</v>
      </c>
      <c r="J13" s="27">
        <v>46083</v>
      </c>
      <c r="K13" s="6">
        <v>46087</v>
      </c>
    </row>
    <row r="14" spans="1:11" x14ac:dyDescent="0.25">
      <c r="G14" s="26">
        <v>11</v>
      </c>
      <c r="H14" s="27">
        <v>46090</v>
      </c>
      <c r="I14" s="27">
        <v>46096</v>
      </c>
      <c r="J14" s="27">
        <v>46090</v>
      </c>
      <c r="K14" s="6">
        <v>46094</v>
      </c>
    </row>
    <row r="15" spans="1:11" x14ac:dyDescent="0.25">
      <c r="G15" s="26">
        <v>12</v>
      </c>
      <c r="H15" s="27">
        <v>46097</v>
      </c>
      <c r="I15" s="27">
        <v>46103</v>
      </c>
      <c r="J15" s="27">
        <v>46097</v>
      </c>
      <c r="K15" s="27">
        <v>46101</v>
      </c>
    </row>
    <row r="16" spans="1:11" x14ac:dyDescent="0.25">
      <c r="G16" s="26">
        <v>13</v>
      </c>
      <c r="H16" s="27">
        <v>46104</v>
      </c>
      <c r="I16" s="27">
        <v>46110</v>
      </c>
      <c r="J16" s="27">
        <v>46104</v>
      </c>
      <c r="K16" s="6">
        <v>46108</v>
      </c>
    </row>
    <row r="17" spans="7:11" x14ac:dyDescent="0.25">
      <c r="G17" s="26">
        <v>14</v>
      </c>
      <c r="H17" s="27">
        <v>46111</v>
      </c>
      <c r="I17" s="27">
        <v>46117</v>
      </c>
      <c r="J17" s="27">
        <v>46111</v>
      </c>
      <c r="K17" s="6">
        <v>46115</v>
      </c>
    </row>
    <row r="18" spans="7:11" x14ac:dyDescent="0.25">
      <c r="G18" s="26">
        <v>15</v>
      </c>
      <c r="H18" s="27">
        <v>46118</v>
      </c>
      <c r="I18" s="27">
        <v>46124</v>
      </c>
      <c r="J18" s="27">
        <v>46118</v>
      </c>
      <c r="K18" s="27">
        <v>46122</v>
      </c>
    </row>
    <row r="19" spans="7:11" x14ac:dyDescent="0.25">
      <c r="G19" s="26">
        <v>16</v>
      </c>
      <c r="H19" s="27">
        <v>46125</v>
      </c>
      <c r="I19" s="27">
        <v>46131</v>
      </c>
      <c r="J19" s="27">
        <v>46125</v>
      </c>
      <c r="K19" s="6">
        <v>46129</v>
      </c>
    </row>
    <row r="20" spans="7:11" x14ac:dyDescent="0.25">
      <c r="G20" s="26">
        <v>17</v>
      </c>
      <c r="H20" s="27">
        <v>46132</v>
      </c>
      <c r="I20" s="27">
        <v>46138</v>
      </c>
      <c r="J20" s="27">
        <v>46132</v>
      </c>
      <c r="K20" s="6">
        <v>46136</v>
      </c>
    </row>
    <row r="21" spans="7:11" x14ac:dyDescent="0.25">
      <c r="G21" s="26">
        <v>18</v>
      </c>
      <c r="H21" s="27">
        <v>46139</v>
      </c>
      <c r="I21" s="27">
        <v>46145</v>
      </c>
      <c r="J21" s="27">
        <v>46139</v>
      </c>
      <c r="K21" s="27">
        <v>46143</v>
      </c>
    </row>
    <row r="22" spans="7:11" x14ac:dyDescent="0.25">
      <c r="G22" s="26">
        <v>19</v>
      </c>
      <c r="H22" s="27">
        <v>46146</v>
      </c>
      <c r="I22" s="27">
        <v>46152</v>
      </c>
      <c r="J22" s="27">
        <v>46146</v>
      </c>
      <c r="K22" s="6">
        <v>46150</v>
      </c>
    </row>
    <row r="23" spans="7:11" x14ac:dyDescent="0.25">
      <c r="G23" s="26">
        <v>20</v>
      </c>
      <c r="H23" s="27">
        <v>46153</v>
      </c>
      <c r="I23" s="27">
        <v>46159</v>
      </c>
      <c r="J23" s="27">
        <v>46153</v>
      </c>
      <c r="K23" s="6">
        <v>46157</v>
      </c>
    </row>
    <row r="24" spans="7:11" x14ac:dyDescent="0.25">
      <c r="G24" s="26">
        <v>21</v>
      </c>
      <c r="H24" s="27">
        <v>46160</v>
      </c>
      <c r="I24" s="27">
        <v>46166</v>
      </c>
      <c r="J24" s="27">
        <v>46160</v>
      </c>
      <c r="K24" s="27">
        <v>46164</v>
      </c>
    </row>
    <row r="25" spans="7:11" x14ac:dyDescent="0.25">
      <c r="G25" s="26">
        <v>22</v>
      </c>
      <c r="H25" s="27">
        <v>46167</v>
      </c>
      <c r="I25" s="27">
        <v>46173</v>
      </c>
      <c r="J25" s="27">
        <v>46167</v>
      </c>
      <c r="K25" s="6">
        <v>46171</v>
      </c>
    </row>
    <row r="26" spans="7:11" x14ac:dyDescent="0.25">
      <c r="G26" s="26">
        <v>23</v>
      </c>
      <c r="H26" s="27">
        <v>46174</v>
      </c>
      <c r="I26" s="27">
        <v>46180</v>
      </c>
      <c r="J26" s="27">
        <v>46174</v>
      </c>
      <c r="K26" s="6">
        <v>46178</v>
      </c>
    </row>
    <row r="27" spans="7:11" x14ac:dyDescent="0.25">
      <c r="G27" s="26">
        <v>24</v>
      </c>
      <c r="H27" s="27">
        <v>46181</v>
      </c>
      <c r="I27" s="27">
        <v>46187</v>
      </c>
      <c r="J27" s="27">
        <v>46181</v>
      </c>
      <c r="K27" s="27">
        <v>46185</v>
      </c>
    </row>
    <row r="28" spans="7:11" x14ac:dyDescent="0.25">
      <c r="G28" s="26">
        <v>25</v>
      </c>
      <c r="H28" s="27">
        <v>46188</v>
      </c>
      <c r="I28" s="27">
        <v>46194</v>
      </c>
      <c r="J28" s="27">
        <v>46188</v>
      </c>
      <c r="K28" s="6">
        <v>46192</v>
      </c>
    </row>
    <row r="29" spans="7:11" x14ac:dyDescent="0.25">
      <c r="G29" s="26">
        <v>26</v>
      </c>
      <c r="H29" s="27">
        <v>46195</v>
      </c>
      <c r="I29" s="27">
        <v>46201</v>
      </c>
      <c r="J29" s="27">
        <v>46195</v>
      </c>
      <c r="K29" s="6">
        <v>46199</v>
      </c>
    </row>
    <row r="30" spans="7:11" x14ac:dyDescent="0.25">
      <c r="G30" s="26">
        <v>27</v>
      </c>
      <c r="H30" s="27">
        <v>46202</v>
      </c>
      <c r="I30" s="27">
        <v>46208</v>
      </c>
      <c r="J30" s="27">
        <v>46202</v>
      </c>
      <c r="K30" s="27">
        <v>46206</v>
      </c>
    </row>
    <row r="31" spans="7:11" x14ac:dyDescent="0.25">
      <c r="G31" s="26">
        <v>28</v>
      </c>
      <c r="H31" s="27">
        <v>46209</v>
      </c>
      <c r="I31" s="27">
        <v>46215</v>
      </c>
      <c r="J31" s="27">
        <v>46209</v>
      </c>
      <c r="K31" s="6">
        <v>46213</v>
      </c>
    </row>
    <row r="32" spans="7:11" x14ac:dyDescent="0.25">
      <c r="G32" s="26">
        <v>29</v>
      </c>
      <c r="H32" s="27">
        <v>46216</v>
      </c>
      <c r="I32" s="27">
        <v>46222</v>
      </c>
      <c r="J32" s="27">
        <v>46216</v>
      </c>
      <c r="K32" s="6">
        <v>46220</v>
      </c>
    </row>
    <row r="33" spans="7:11" x14ac:dyDescent="0.25">
      <c r="G33" s="26">
        <v>30</v>
      </c>
      <c r="H33" s="27">
        <v>46223</v>
      </c>
      <c r="I33" s="27">
        <v>46229</v>
      </c>
      <c r="J33" s="27">
        <v>46223</v>
      </c>
      <c r="K33" s="27">
        <v>46227</v>
      </c>
    </row>
    <row r="34" spans="7:11" x14ac:dyDescent="0.25">
      <c r="G34" s="26">
        <v>31</v>
      </c>
      <c r="H34" s="27">
        <v>46230</v>
      </c>
      <c r="I34" s="27">
        <v>46236</v>
      </c>
      <c r="J34" s="27">
        <v>46230</v>
      </c>
      <c r="K34" s="6">
        <v>46234</v>
      </c>
    </row>
    <row r="35" spans="7:11" x14ac:dyDescent="0.25">
      <c r="G35" s="26">
        <v>32</v>
      </c>
      <c r="H35" s="27">
        <v>46237</v>
      </c>
      <c r="I35" s="27">
        <v>46243</v>
      </c>
      <c r="J35" s="27">
        <v>46237</v>
      </c>
      <c r="K35" s="6">
        <v>46241</v>
      </c>
    </row>
    <row r="36" spans="7:11" x14ac:dyDescent="0.25">
      <c r="G36" s="26">
        <v>33</v>
      </c>
      <c r="H36" s="27">
        <v>46244</v>
      </c>
      <c r="I36" s="27">
        <v>46250</v>
      </c>
      <c r="J36" s="27">
        <v>46244</v>
      </c>
      <c r="K36" s="27">
        <v>46248</v>
      </c>
    </row>
    <row r="37" spans="7:11" x14ac:dyDescent="0.25">
      <c r="G37" s="26">
        <v>34</v>
      </c>
      <c r="H37" s="27">
        <v>46251</v>
      </c>
      <c r="I37" s="27">
        <v>46257</v>
      </c>
      <c r="J37" s="27">
        <v>46251</v>
      </c>
      <c r="K37" s="6">
        <v>46255</v>
      </c>
    </row>
    <row r="38" spans="7:11" x14ac:dyDescent="0.25">
      <c r="G38" s="26">
        <v>35</v>
      </c>
      <c r="H38" s="27">
        <v>46258</v>
      </c>
      <c r="I38" s="27">
        <v>46264</v>
      </c>
      <c r="J38" s="27">
        <v>46258</v>
      </c>
      <c r="K38" s="6">
        <v>46262</v>
      </c>
    </row>
    <row r="39" spans="7:11" x14ac:dyDescent="0.25">
      <c r="G39" s="26">
        <v>36</v>
      </c>
      <c r="H39" s="27">
        <v>46265</v>
      </c>
      <c r="I39" s="27">
        <v>46271</v>
      </c>
      <c r="J39" s="27">
        <v>46265</v>
      </c>
      <c r="K39" s="27">
        <v>46269</v>
      </c>
    </row>
    <row r="40" spans="7:11" x14ac:dyDescent="0.25">
      <c r="G40" s="26">
        <v>37</v>
      </c>
      <c r="H40" s="27">
        <v>46272</v>
      </c>
      <c r="I40" s="27">
        <v>46278</v>
      </c>
      <c r="J40" s="27">
        <v>46272</v>
      </c>
      <c r="K40" s="6">
        <v>46276</v>
      </c>
    </row>
    <row r="41" spans="7:11" x14ac:dyDescent="0.25">
      <c r="G41" s="26">
        <v>38</v>
      </c>
      <c r="H41" s="27">
        <v>46279</v>
      </c>
      <c r="I41" s="27">
        <v>46285</v>
      </c>
      <c r="J41" s="27">
        <v>46279</v>
      </c>
      <c r="K41" s="6">
        <v>46283</v>
      </c>
    </row>
    <row r="42" spans="7:11" x14ac:dyDescent="0.25">
      <c r="G42" s="26">
        <v>39</v>
      </c>
      <c r="H42" s="27">
        <v>46286</v>
      </c>
      <c r="I42" s="27">
        <v>46292</v>
      </c>
      <c r="J42" s="27">
        <v>46286</v>
      </c>
      <c r="K42" s="27">
        <v>46290</v>
      </c>
    </row>
    <row r="43" spans="7:11" x14ac:dyDescent="0.25">
      <c r="G43" s="26">
        <v>40</v>
      </c>
      <c r="H43" s="27">
        <v>46293</v>
      </c>
      <c r="I43" s="27">
        <v>46299</v>
      </c>
      <c r="J43" s="27">
        <v>46293</v>
      </c>
      <c r="K43" s="6">
        <v>46297</v>
      </c>
    </row>
    <row r="44" spans="7:11" x14ac:dyDescent="0.25">
      <c r="G44" s="26">
        <v>41</v>
      </c>
      <c r="H44" s="27">
        <v>46300</v>
      </c>
      <c r="I44" s="27">
        <v>46306</v>
      </c>
      <c r="J44" s="27">
        <v>46300</v>
      </c>
      <c r="K44" s="6">
        <v>46304</v>
      </c>
    </row>
    <row r="45" spans="7:11" x14ac:dyDescent="0.25">
      <c r="G45" s="26">
        <v>42</v>
      </c>
      <c r="H45" s="27">
        <v>46307</v>
      </c>
      <c r="I45" s="27">
        <v>46313</v>
      </c>
      <c r="J45" s="27">
        <v>46307</v>
      </c>
      <c r="K45" s="27">
        <v>46311</v>
      </c>
    </row>
    <row r="46" spans="7:11" x14ac:dyDescent="0.25">
      <c r="G46" s="26">
        <v>43</v>
      </c>
      <c r="H46" s="27">
        <v>46314</v>
      </c>
      <c r="I46" s="27">
        <v>46320</v>
      </c>
      <c r="J46" s="27">
        <v>46314</v>
      </c>
      <c r="K46" s="6">
        <v>46318</v>
      </c>
    </row>
    <row r="47" spans="7:11" x14ac:dyDescent="0.25">
      <c r="G47" s="26">
        <v>44</v>
      </c>
      <c r="H47" s="27">
        <v>46321</v>
      </c>
      <c r="I47" s="27">
        <v>46327</v>
      </c>
      <c r="J47" s="27">
        <v>46321</v>
      </c>
      <c r="K47" s="6">
        <v>46325</v>
      </c>
    </row>
    <row r="48" spans="7:11" x14ac:dyDescent="0.25">
      <c r="G48" s="26">
        <v>45</v>
      </c>
      <c r="H48" s="27">
        <v>46328</v>
      </c>
      <c r="I48" s="27">
        <v>46334</v>
      </c>
      <c r="J48" s="27">
        <v>46328</v>
      </c>
      <c r="K48" s="27">
        <v>46332</v>
      </c>
    </row>
    <row r="49" spans="7:11" x14ac:dyDescent="0.25">
      <c r="G49" s="26">
        <v>46</v>
      </c>
      <c r="H49" s="27">
        <v>46335</v>
      </c>
      <c r="I49" s="27">
        <v>46341</v>
      </c>
      <c r="J49" s="27">
        <v>46335</v>
      </c>
      <c r="K49" s="6">
        <v>46339</v>
      </c>
    </row>
    <row r="50" spans="7:11" x14ac:dyDescent="0.25">
      <c r="G50" s="26">
        <v>47</v>
      </c>
      <c r="H50" s="27">
        <v>46342</v>
      </c>
      <c r="I50" s="27">
        <v>46348</v>
      </c>
      <c r="J50" s="27">
        <v>46342</v>
      </c>
      <c r="K50" s="6">
        <v>46346</v>
      </c>
    </row>
    <row r="51" spans="7:11" x14ac:dyDescent="0.25">
      <c r="G51" s="26">
        <v>48</v>
      </c>
      <c r="H51" s="27">
        <v>46349</v>
      </c>
      <c r="I51" s="27">
        <v>46355</v>
      </c>
      <c r="J51" s="27">
        <v>46349</v>
      </c>
      <c r="K51" s="27">
        <v>46353</v>
      </c>
    </row>
    <row r="52" spans="7:11" x14ac:dyDescent="0.25">
      <c r="G52" s="26">
        <v>49</v>
      </c>
      <c r="H52" s="27">
        <v>46356</v>
      </c>
      <c r="I52" s="27">
        <v>46362</v>
      </c>
      <c r="J52" s="27">
        <v>46356</v>
      </c>
      <c r="K52" s="6">
        <v>46360</v>
      </c>
    </row>
    <row r="53" spans="7:11" x14ac:dyDescent="0.25">
      <c r="G53" s="26">
        <v>50</v>
      </c>
      <c r="H53" s="27">
        <v>46363</v>
      </c>
      <c r="I53" s="27">
        <v>46369</v>
      </c>
      <c r="J53" s="27">
        <v>46363</v>
      </c>
      <c r="K53" s="6">
        <v>46367</v>
      </c>
    </row>
    <row r="54" spans="7:11" x14ac:dyDescent="0.25">
      <c r="G54" s="26">
        <v>51</v>
      </c>
      <c r="H54" s="27">
        <v>46370</v>
      </c>
      <c r="I54" s="27">
        <v>46376</v>
      </c>
      <c r="J54" s="27">
        <v>46370</v>
      </c>
      <c r="K54" s="27">
        <v>46374</v>
      </c>
    </row>
    <row r="55" spans="7:11" x14ac:dyDescent="0.25">
      <c r="G55" s="26">
        <v>52</v>
      </c>
      <c r="H55" s="27">
        <v>46377</v>
      </c>
      <c r="I55" s="27">
        <v>46383</v>
      </c>
      <c r="J55" s="27">
        <v>46377</v>
      </c>
      <c r="K55" s="6">
        <v>46381</v>
      </c>
    </row>
    <row r="56" spans="7:11" x14ac:dyDescent="0.25">
      <c r="G56" s="26">
        <v>53</v>
      </c>
      <c r="H56" s="27">
        <v>46384</v>
      </c>
      <c r="I56" s="27">
        <v>46390</v>
      </c>
      <c r="J56" s="27">
        <v>46384</v>
      </c>
      <c r="K56" s="6">
        <v>46388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CZERSN5IWP6KEHDFINCLJBES5VDW76R5:ms-officescript%3A%2F%2Fonedrive_business_sharinglink%2Fu!aHR0cHM6Ly92ZXJ0aXZjby1teS5zaGFyZXBvaW50LmNvbS86dTovcC9taWd1ZWxfY2FycmFuemEvRWFpel9LSWNaVU5FdElTUzdVZHYtajBCYkFHcWlXajlTUG9YX2U1VnVDcDZjQQ"/>
</scriptIds>
</file>

<file path=customXml/itemProps1.xml><?xml version="1.0" encoding="utf-8"?>
<ds:datastoreItem xmlns:ds="http://schemas.openxmlformats.org/officeDocument/2006/customXml" ds:itemID="{850B8359-A261-45CB-B447-79F6AC381389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Data</vt:lpstr>
      <vt:lpstr>Main</vt:lpstr>
      <vt:lpstr>JSON</vt:lpstr>
      <vt:lpstr>APU1</vt:lpstr>
      <vt:lpstr>APU2</vt:lpstr>
      <vt:lpstr>APU3</vt:lpstr>
      <vt:lpstr>Sheet2</vt:lpstr>
      <vt:lpstr>pares</vt:lpstr>
      <vt:lpstr>Main!Print_Area</vt:lpstr>
    </vt:vector>
  </TitlesOfParts>
  <Manager/>
  <Company>Vertiv Group Corp.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Quintanilla, Selena [CTR]</dc:creator>
  <cp:keywords/>
  <dc:description/>
  <cp:lastModifiedBy>Carranza, Miguel [CTR]</cp:lastModifiedBy>
  <cp:revision/>
  <cp:lastPrinted>2025-11-10T16:39:38Z</cp:lastPrinted>
  <dcterms:created xsi:type="dcterms:W3CDTF">2025-08-28T16:13:08Z</dcterms:created>
  <dcterms:modified xsi:type="dcterms:W3CDTF">2026-01-22T17:27:05Z</dcterms:modified>
  <cp:category/>
  <cp:contentStatus/>
</cp:coreProperties>
</file>